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99b37b462cfbcf/Desktop/My Important Stuff/Personal Projects/"/>
    </mc:Choice>
  </mc:AlternateContent>
  <xr:revisionPtr revIDLastSave="84" documentId="8_{B1843F84-6E55-412A-AC24-4E949F1D58B9}" xr6:coauthVersionLast="47" xr6:coauthVersionMax="47" xr10:uidLastSave="{0B010E3F-5F8C-4A72-BD77-9F04388F7822}"/>
  <bookViews>
    <workbookView xWindow="-110" yWindow="-110" windowWidth="19420" windowHeight="10300" xr2:uid="{0AB552DB-2298-41D2-9FCE-48FAAC84FFA2}"/>
  </bookViews>
  <sheets>
    <sheet name="Ratios" sheetId="9" r:id="rId1"/>
    <sheet name="SOPL" sheetId="6" r:id="rId2"/>
    <sheet name="SOFP" sheetId="7" r:id="rId3"/>
    <sheet name="SOCF" sheetId="13" r:id="rId4"/>
    <sheet name="chart_of_accounts" sheetId="1" r:id="rId5"/>
    <sheet name="general_journal" sheetId="2" r:id="rId6"/>
    <sheet name="general_ledger" sheetId="3" r:id="rId7"/>
    <sheet name="adjusted_trial balance" sheetId="4" r:id="rId8"/>
    <sheet name="closing_entries" sheetId="8" r:id="rId9"/>
    <sheet name="post_closing_trial_balance" sheetId="11" r:id="rId10"/>
  </sheets>
  <definedNames>
    <definedName name="_xlcn.WorksheetConnection_bookkeeping.xlsxchart_of_accounts1" hidden="1">chart_of_accounts[]</definedName>
    <definedName name="_xlcn.WorksheetConnection_bookkeeping.xlsxtrial_balance1" hidden="1">adjusted_trial_balance[]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rial_balance" name="trial_balance" connection="WorksheetConnection_bookkeeping.xlsx!trial_balance"/>
          <x15:modelTable id="chart_of_accounts" name="chart_of_accounts" connection="WorksheetConnection_bookkeeping.xlsx!chart_of_accounts"/>
        </x15:modelTables>
        <x15:modelRelationships>
          <x15:modelRelationship fromTable="trial_balance" fromColumn="Account Name" toTable="chart_of_accounts" toColumn="Account nam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0" i="2" l="1"/>
  <c r="B32" i="11"/>
  <c r="B32" i="4"/>
  <c r="C32" i="4" s="1" a="1"/>
  <c r="C32" i="4" s="1"/>
  <c r="B5" i="11"/>
  <c r="D5" i="11" s="1" a="1"/>
  <c r="D5" i="11" s="1"/>
  <c r="B6" i="11"/>
  <c r="B7" i="11"/>
  <c r="B8" i="11"/>
  <c r="D8" i="11" s="1" a="1"/>
  <c r="D8" i="11" s="1"/>
  <c r="B9" i="11"/>
  <c r="B10" i="11"/>
  <c r="D10" i="11" s="1" a="1"/>
  <c r="D10" i="11" s="1"/>
  <c r="B11" i="11"/>
  <c r="D11" i="11" s="1" a="1"/>
  <c r="D11" i="11" s="1"/>
  <c r="B12" i="11"/>
  <c r="B13" i="11"/>
  <c r="B14" i="11"/>
  <c r="D14" i="11" s="1" a="1"/>
  <c r="D14" i="11" s="1"/>
  <c r="B15" i="11"/>
  <c r="C15" i="11" s="1" a="1"/>
  <c r="C15" i="11" s="1"/>
  <c r="B16" i="11"/>
  <c r="D16" i="11" s="1" a="1"/>
  <c r="D16" i="11" s="1"/>
  <c r="B17" i="11"/>
  <c r="D17" i="11" s="1" a="1"/>
  <c r="D17" i="11" s="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4" i="11"/>
  <c r="C4" i="11" s="1" a="1"/>
  <c r="C4" i="11" s="1"/>
  <c r="B22" i="7" a="1"/>
  <c r="B22" i="7" s="1"/>
  <c r="B19" i="7" a="1"/>
  <c r="B19" i="7" s="1"/>
  <c r="D18" i="8"/>
  <c r="D19" i="8"/>
  <c r="D17" i="8"/>
  <c r="D5" i="8"/>
  <c r="D6" i="8"/>
  <c r="D7" i="8"/>
  <c r="D8" i="8"/>
  <c r="D9" i="8"/>
  <c r="D10" i="8"/>
  <c r="D11" i="8"/>
  <c r="D12" i="8"/>
  <c r="D13" i="8"/>
  <c r="D14" i="8"/>
  <c r="D15" i="8"/>
  <c r="D16" i="8"/>
  <c r="B23" i="6" a="1"/>
  <c r="B23" i="6" s="1"/>
  <c r="D88" i="2"/>
  <c r="D89" i="2"/>
  <c r="B31" i="4"/>
  <c r="D4" i="8"/>
  <c r="B15" i="7" a="1"/>
  <c r="B15" i="7" s="1"/>
  <c r="B7" i="7" a="1"/>
  <c r="B7" i="7" s="1"/>
  <c r="C14" i="11" l="1" a="1"/>
  <c r="C14" i="11" s="1"/>
  <c r="C8" i="11" a="1"/>
  <c r="C8" i="11" s="1"/>
  <c r="D15" i="11" a="1"/>
  <c r="D15" i="11" s="1"/>
  <c r="C5" i="11" a="1"/>
  <c r="C5" i="11" s="1"/>
  <c r="C11" i="11" a="1"/>
  <c r="C11" i="11" s="1"/>
  <c r="D4" i="11" a="1"/>
  <c r="D4" i="11" s="1"/>
  <c r="C17" i="11" a="1"/>
  <c r="C17" i="11" s="1"/>
  <c r="C10" i="11" a="1"/>
  <c r="C10" i="11" s="1"/>
  <c r="C16" i="11" a="1"/>
  <c r="C16" i="11" s="1"/>
  <c r="B21" i="6" a="1"/>
  <c r="B21" i="6" s="1"/>
  <c r="B9" i="6" a="1"/>
  <c r="B4" i="6" a="1"/>
  <c r="B4" i="6" s="1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4" i="4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4" i="2"/>
  <c r="G86" i="2"/>
  <c r="H87" i="2" s="1"/>
  <c r="D13" i="11" s="1" a="1"/>
  <c r="D13" i="11" s="1"/>
  <c r="G84" i="2"/>
  <c r="H85" i="2" s="1"/>
  <c r="D7" i="11" s="1" a="1"/>
  <c r="D7" i="11" s="1"/>
  <c r="G82" i="2"/>
  <c r="H83" i="2" s="1"/>
  <c r="D9" i="11" s="1" a="1"/>
  <c r="D9" i="11" s="1"/>
  <c r="G80" i="2"/>
  <c r="H81" i="2" s="1"/>
  <c r="B8" i="3" s="1" a="1"/>
  <c r="G78" i="2"/>
  <c r="H79" i="2" s="1"/>
  <c r="H90" i="2" s="1"/>
  <c r="C31" i="4" l="1" a="1"/>
  <c r="C31" i="4" s="1"/>
  <c r="D6" i="11" a="1"/>
  <c r="D6" i="11" s="1"/>
  <c r="C7" i="11" a="1"/>
  <c r="C7" i="11" s="1"/>
  <c r="C9" i="11" a="1"/>
  <c r="C9" i="11" s="1"/>
  <c r="C13" i="11" a="1"/>
  <c r="C13" i="11" s="1"/>
  <c r="C6" i="11" a="1"/>
  <c r="C6" i="11" s="1"/>
  <c r="B9" i="6"/>
  <c r="D8" i="4" a="1"/>
  <c r="D8" i="4" s="1"/>
  <c r="C8" i="4" a="1"/>
  <c r="C8" i="4" s="1"/>
  <c r="C8" i="7" s="1"/>
  <c r="D24" i="4" a="1"/>
  <c r="D24" i="4" s="1"/>
  <c r="C24" i="4" a="1"/>
  <c r="C24" i="4" s="1"/>
  <c r="D7" i="4" a="1"/>
  <c r="D7" i="4" s="1"/>
  <c r="C7" i="4" a="1"/>
  <c r="C7" i="4" s="1"/>
  <c r="C7" i="7" s="1"/>
  <c r="C7" i="13" s="1"/>
  <c r="D26" i="4" a="1"/>
  <c r="D26" i="4" s="1"/>
  <c r="C26" i="4" a="1"/>
  <c r="C26" i="4" s="1"/>
  <c r="C13" i="6" s="1"/>
  <c r="D18" i="4" a="1"/>
  <c r="D18" i="4" s="1"/>
  <c r="C18" i="4" a="1"/>
  <c r="C18" i="4" s="1"/>
  <c r="C10" i="4" a="1"/>
  <c r="C10" i="4" s="1"/>
  <c r="C10" i="7" s="1"/>
  <c r="D10" i="4" a="1"/>
  <c r="D10" i="4" s="1"/>
  <c r="C4" i="4" a="1"/>
  <c r="C4" i="4" s="1"/>
  <c r="D4" i="4" a="1"/>
  <c r="D4" i="4" s="1"/>
  <c r="D27" i="4" a="1"/>
  <c r="D27" i="4" s="1"/>
  <c r="C27" i="4" a="1"/>
  <c r="C27" i="4" s="1"/>
  <c r="H13" i="8" s="1"/>
  <c r="D19" i="4" a="1"/>
  <c r="D19" i="4" s="1"/>
  <c r="C19" i="4" a="1"/>
  <c r="C19" i="4" s="1"/>
  <c r="D11" i="4" a="1"/>
  <c r="D11" i="4" s="1"/>
  <c r="C15" i="7" s="1"/>
  <c r="C19" i="13" s="1"/>
  <c r="D21" i="13" s="1"/>
  <c r="C11" i="4" a="1"/>
  <c r="C11" i="4" s="1"/>
  <c r="D25" i="4" a="1"/>
  <c r="D25" i="4" s="1"/>
  <c r="C25" i="4" a="1"/>
  <c r="C25" i="4" s="1"/>
  <c r="D17" i="4" a="1"/>
  <c r="D17" i="4" s="1"/>
  <c r="C25" i="7" s="1"/>
  <c r="C17" i="4" a="1"/>
  <c r="C17" i="4" s="1"/>
  <c r="D9" i="4" a="1"/>
  <c r="D9" i="4" s="1"/>
  <c r="C9" i="4" a="1"/>
  <c r="C9" i="4" s="1"/>
  <c r="C9" i="7" s="1"/>
  <c r="C30" i="4" a="1"/>
  <c r="C30" i="4" s="1"/>
  <c r="D30" i="4" a="1"/>
  <c r="D30" i="4" s="1"/>
  <c r="D22" i="4" a="1"/>
  <c r="D22" i="4" s="1"/>
  <c r="C22" i="4" a="1"/>
  <c r="C22" i="4" s="1"/>
  <c r="H8" i="8" s="1"/>
  <c r="D14" i="4" a="1"/>
  <c r="D14" i="4" s="1"/>
  <c r="C22" i="7" s="1"/>
  <c r="C14" i="4" a="1"/>
  <c r="C14" i="4" s="1"/>
  <c r="D6" i="4" a="1"/>
  <c r="D6" i="4" s="1"/>
  <c r="C6" i="4" a="1"/>
  <c r="C6" i="4" s="1"/>
  <c r="C23" i="4" a="1"/>
  <c r="C23" i="4" s="1"/>
  <c r="D23" i="4" a="1"/>
  <c r="D23" i="4" s="1"/>
  <c r="D16" i="4" a="1"/>
  <c r="D16" i="4" s="1"/>
  <c r="C24" i="7" s="1"/>
  <c r="C16" i="4" a="1"/>
  <c r="C16" i="4" s="1"/>
  <c r="D15" i="4" a="1"/>
  <c r="D15" i="4" s="1"/>
  <c r="C15" i="4" a="1"/>
  <c r="C15" i="4" s="1"/>
  <c r="C29" i="4" a="1"/>
  <c r="C29" i="4" s="1"/>
  <c r="D29" i="4" a="1"/>
  <c r="D29" i="4" s="1"/>
  <c r="D21" i="4" a="1"/>
  <c r="D21" i="4" s="1"/>
  <c r="C21" i="4" a="1"/>
  <c r="C21" i="4" s="1"/>
  <c r="H7" i="8" s="1"/>
  <c r="D13" i="4" a="1"/>
  <c r="D13" i="4" s="1"/>
  <c r="C19" i="7" s="1"/>
  <c r="D20" i="7" s="1"/>
  <c r="C13" i="4" a="1"/>
  <c r="C13" i="4" s="1"/>
  <c r="D5" i="4" a="1"/>
  <c r="D5" i="4" s="1"/>
  <c r="C5" i="4" a="1"/>
  <c r="C5" i="4" s="1"/>
  <c r="C15" i="13" s="1"/>
  <c r="D28" i="4" a="1"/>
  <c r="D28" i="4" s="1"/>
  <c r="C28" i="4" a="1"/>
  <c r="C28" i="4" s="1"/>
  <c r="D20" i="4" a="1"/>
  <c r="D20" i="4" s="1"/>
  <c r="C20" i="4" a="1"/>
  <c r="C20" i="4" s="1"/>
  <c r="D12" i="4" a="1"/>
  <c r="D12" i="4" s="1"/>
  <c r="C12" i="4" a="1"/>
  <c r="C12" i="4" s="1"/>
  <c r="H18" i="8"/>
  <c r="C23" i="6"/>
  <c r="H16" i="8"/>
  <c r="C21" i="6"/>
  <c r="C23" i="7"/>
  <c r="G8" i="3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B8" i="3"/>
  <c r="G32" i="3" a="1"/>
  <c r="G32" i="3" s="1"/>
  <c r="D26" i="7" l="1"/>
  <c r="C7" i="6"/>
  <c r="C6" i="6"/>
  <c r="C10" i="6"/>
  <c r="C14" i="6"/>
  <c r="C11" i="6"/>
  <c r="C16" i="6"/>
  <c r="C5" i="13" s="1"/>
  <c r="C5" i="6"/>
  <c r="C4" i="6"/>
  <c r="C8" i="13"/>
  <c r="D33" i="4"/>
  <c r="C14" i="13"/>
  <c r="D16" i="13" s="1"/>
  <c r="C33" i="4"/>
  <c r="H15" i="8"/>
  <c r="C32" i="11" a="1"/>
  <c r="C32" i="11" s="1"/>
  <c r="D32" i="11" a="1"/>
  <c r="D32" i="11" s="1"/>
  <c r="C12" i="6"/>
  <c r="C15" i="6"/>
  <c r="H9" i="8"/>
  <c r="C17" i="6"/>
  <c r="H14" i="8"/>
  <c r="D28" i="11" s="1" a="1"/>
  <c r="D28" i="11" s="1"/>
  <c r="C9" i="6"/>
  <c r="C16" i="9"/>
  <c r="C9" i="13"/>
  <c r="C27" i="11" a="1"/>
  <c r="C27" i="11" s="1"/>
  <c r="D27" i="11" a="1"/>
  <c r="D27" i="11" s="1"/>
  <c r="D21" i="11" a="1"/>
  <c r="D21" i="11" s="1"/>
  <c r="C21" i="11" a="1"/>
  <c r="C21" i="11" s="1"/>
  <c r="C31" i="11" a="1"/>
  <c r="C31" i="11" s="1"/>
  <c r="D31" i="11" a="1"/>
  <c r="D31" i="11" s="1"/>
  <c r="D22" i="11" a="1"/>
  <c r="D22" i="11" s="1"/>
  <c r="C22" i="11" a="1"/>
  <c r="C22" i="11" s="1"/>
  <c r="C28" i="11" a="1"/>
  <c r="C28" i="11" s="1"/>
  <c r="C15" i="9"/>
  <c r="C21" i="9"/>
  <c r="C14" i="9"/>
  <c r="C20" i="9"/>
  <c r="H17" i="8"/>
  <c r="C4" i="7" a="1"/>
  <c r="C4" i="7" s="1"/>
  <c r="D5" i="7" s="1"/>
  <c r="D11" i="7"/>
  <c r="H11" i="8"/>
  <c r="H12" i="8"/>
  <c r="D26" i="11" s="1" a="1"/>
  <c r="D26" i="11" s="1"/>
  <c r="H6" i="8"/>
  <c r="D20" i="11" s="1" a="1"/>
  <c r="D20" i="11" s="1"/>
  <c r="H5" i="8"/>
  <c r="H10" i="8"/>
  <c r="C8" i="6" l="1"/>
  <c r="C18" i="6" s="1"/>
  <c r="D29" i="11" a="1"/>
  <c r="D29" i="11" s="1"/>
  <c r="C26" i="11" a="1"/>
  <c r="C26" i="11" s="1"/>
  <c r="C20" i="11" a="1"/>
  <c r="C20" i="11" s="1"/>
  <c r="C29" i="11" a="1"/>
  <c r="C29" i="11" s="1"/>
  <c r="D30" i="11" a="1"/>
  <c r="D30" i="11" s="1"/>
  <c r="C30" i="11" a="1"/>
  <c r="C30" i="11" s="1"/>
  <c r="C18" i="11" a="1"/>
  <c r="C18" i="11" s="1"/>
  <c r="D18" i="11" a="1"/>
  <c r="D18" i="11" s="1"/>
  <c r="D23" i="11" a="1"/>
  <c r="D23" i="11" s="1"/>
  <c r="C23" i="11" a="1"/>
  <c r="C23" i="11" s="1"/>
  <c r="D19" i="11" a="1"/>
  <c r="D19" i="11" s="1"/>
  <c r="C19" i="11" a="1"/>
  <c r="C19" i="11" s="1"/>
  <c r="D25" i="11" a="1"/>
  <c r="D25" i="11" s="1"/>
  <c r="C25" i="11" a="1"/>
  <c r="C25" i="11" s="1"/>
  <c r="C24" i="11" a="1"/>
  <c r="C24" i="11" s="1"/>
  <c r="D24" i="11" a="1"/>
  <c r="D24" i="11" s="1"/>
  <c r="C7" i="9"/>
  <c r="H19" i="8" a="1"/>
  <c r="H19" i="8" s="1"/>
  <c r="D12" i="7"/>
  <c r="C26" i="9" l="1"/>
  <c r="C4" i="13"/>
  <c r="C6" i="13" s="1"/>
  <c r="C10" i="13" s="1"/>
  <c r="D11" i="13" s="1"/>
  <c r="D23" i="13" s="1"/>
  <c r="D25" i="13" s="1"/>
  <c r="C12" i="11" a="1"/>
  <c r="C12" i="11" s="1"/>
  <c r="C33" i="11" s="1"/>
  <c r="D12" i="11" a="1"/>
  <c r="D12" i="11" s="1"/>
  <c r="D33" i="11" s="1"/>
  <c r="C20" i="6"/>
  <c r="C8" i="9"/>
  <c r="C22" i="6" l="1"/>
  <c r="C24" i="6" s="1"/>
  <c r="C3" i="9" s="1"/>
  <c r="C16" i="7" l="1"/>
  <c r="D17" i="7" s="1"/>
  <c r="C13" i="9" l="1"/>
  <c r="C25" i="9"/>
  <c r="D27" i="7"/>
  <c r="C9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69400F-9DA8-4B75-B2B1-E6DF4A381BD5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8C73E0F-4D40-470C-B553-B5CB491FE753}" name="WorksheetConnection_bookkeeping.xlsx!chart_of_accounts" type="102" refreshedVersion="8" minRefreshableVersion="5">
    <extLst>
      <ext xmlns:x15="http://schemas.microsoft.com/office/spreadsheetml/2010/11/main" uri="{DE250136-89BD-433C-8126-D09CA5730AF9}">
        <x15:connection id="chart_of_accounts">
          <x15:rangePr sourceName="_xlcn.WorksheetConnection_bookkeeping.xlsxchart_of_accounts1"/>
        </x15:connection>
      </ext>
    </extLst>
  </connection>
  <connection id="3" xr16:uid="{B7BCFA32-6D9D-4977-86F7-47C05BCD0D2C}" name="WorksheetConnection_bookkeeping.xlsx!trial_balance" type="102" refreshedVersion="8" minRefreshableVersion="5">
    <extLst>
      <ext xmlns:x15="http://schemas.microsoft.com/office/spreadsheetml/2010/11/main" uri="{DE250136-89BD-433C-8126-D09CA5730AF9}">
        <x15:connection id="trial_balance">
          <x15:rangePr sourceName="_xlcn.WorksheetConnection_bookkeeping.xlsxtrial_balanc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<sst xmlns="http://schemas.openxmlformats.org/spreadsheetml/2006/main" count="493" uniqueCount="204">
  <si>
    <t>Chart of Accounts</t>
  </si>
  <si>
    <t>Code</t>
  </si>
  <si>
    <t>Account name</t>
  </si>
  <si>
    <t>Furniture &amp; Fixtures</t>
  </si>
  <si>
    <t>Non-current Asset – PPE</t>
  </si>
  <si>
    <t>SOFP</t>
  </si>
  <si>
    <t>Computer Equipment</t>
  </si>
  <si>
    <t>Accumulated Depreciation – PPE</t>
  </si>
  <si>
    <t>Contra Asset</t>
  </si>
  <si>
    <t>Inventory</t>
  </si>
  <si>
    <t>Current Asset</t>
  </si>
  <si>
    <t>Trade Receivables</t>
  </si>
  <si>
    <t>Prepayments</t>
  </si>
  <si>
    <t>Bank</t>
  </si>
  <si>
    <t>Current Asset – Cash &amp; Cash Equivalent</t>
  </si>
  <si>
    <t>Ordinary Share Capital</t>
  </si>
  <si>
    <t>Equity</t>
  </si>
  <si>
    <t>Retained Earnings</t>
  </si>
  <si>
    <t>Bank Loan</t>
  </si>
  <si>
    <t>Non-current Liability</t>
  </si>
  <si>
    <t>Trade Payables</t>
  </si>
  <si>
    <t>Current Liability</t>
  </si>
  <si>
    <t>Accrued Expenses</t>
  </si>
  <si>
    <t>Prepaid Income</t>
  </si>
  <si>
    <t>Revenue – Sale of Goods</t>
  </si>
  <si>
    <t>Revenue</t>
  </si>
  <si>
    <t>PnL</t>
  </si>
  <si>
    <t>Sales Returns</t>
  </si>
  <si>
    <t>Contra Revenue</t>
  </si>
  <si>
    <t>Cost of Sales</t>
  </si>
  <si>
    <t>Expense</t>
  </si>
  <si>
    <t>Inventory Write-down</t>
  </si>
  <si>
    <t>Salaries &amp; Wages</t>
  </si>
  <si>
    <t>Operating Expense</t>
  </si>
  <si>
    <t>Rent Expense</t>
  </si>
  <si>
    <t>Insurance Expense</t>
  </si>
  <si>
    <t>Advertising Expense</t>
  </si>
  <si>
    <t>Utilities Expense</t>
  </si>
  <si>
    <t>Stationery Expense</t>
  </si>
  <si>
    <t>Professional Fees</t>
  </si>
  <si>
    <t>Depreciation Expense</t>
  </si>
  <si>
    <t>Loan Interest Expense</t>
  </si>
  <si>
    <t>Finance Cost</t>
  </si>
  <si>
    <t>Bank Charges</t>
  </si>
  <si>
    <t>General Journal</t>
  </si>
  <si>
    <t>Date</t>
  </si>
  <si>
    <t>JRN No.</t>
  </si>
  <si>
    <t>Account Name</t>
  </si>
  <si>
    <t>Description</t>
  </si>
  <si>
    <t>Debit</t>
  </si>
  <si>
    <t>Credit</t>
  </si>
  <si>
    <t>Balance</t>
  </si>
  <si>
    <t>J001</t>
  </si>
  <si>
    <t>J002</t>
  </si>
  <si>
    <t>Legal and professional fees for company establishment</t>
  </si>
  <si>
    <t>J003</t>
  </si>
  <si>
    <t>J004</t>
  </si>
  <si>
    <t>J005</t>
  </si>
  <si>
    <t>Office rent for January</t>
  </si>
  <si>
    <t>J006</t>
  </si>
  <si>
    <t>12-month insurance policy purchase</t>
  </si>
  <si>
    <t>J007</t>
  </si>
  <si>
    <t>Stationary purchase</t>
  </si>
  <si>
    <t>J008</t>
  </si>
  <si>
    <t>Inventory purchase from Alpha Supplies on credit</t>
  </si>
  <si>
    <t>J009</t>
  </si>
  <si>
    <t>Frieght and handling costs</t>
  </si>
  <si>
    <t>J010</t>
  </si>
  <si>
    <t>Inventory purchase from Beta Distribution</t>
  </si>
  <si>
    <t>J011</t>
  </si>
  <si>
    <t>Sold goods to Customer A on credit</t>
  </si>
  <si>
    <t>J012</t>
  </si>
  <si>
    <t>Cost of sales regarding sales made to Customer A</t>
  </si>
  <si>
    <t>J013</t>
  </si>
  <si>
    <t>Inventory return to Alpha supplies</t>
  </si>
  <si>
    <t>J014</t>
  </si>
  <si>
    <t>Made cash sale</t>
  </si>
  <si>
    <t>J015</t>
  </si>
  <si>
    <t>Cost of sales regarding the cash sales</t>
  </si>
  <si>
    <t>J016</t>
  </si>
  <si>
    <t>Inventory purchase from Gamma Tech on credit</t>
  </si>
  <si>
    <t>J017</t>
  </si>
  <si>
    <t>Sold goods to Customer B on credit</t>
  </si>
  <si>
    <t>J018</t>
  </si>
  <si>
    <t>Cost of sales regarding sales made to Customer B</t>
  </si>
  <si>
    <t>J019</t>
  </si>
  <si>
    <t>Paid part of the outstanding amount to Alpha Supplies</t>
  </si>
  <si>
    <t>J020</t>
  </si>
  <si>
    <t>Part of balance paid by Customer A</t>
  </si>
  <si>
    <t>J021</t>
  </si>
  <si>
    <t>Goods returned by Customer B</t>
  </si>
  <si>
    <t>J022</t>
  </si>
  <si>
    <t>Cost of sales regarding goods returned by Customer B</t>
  </si>
  <si>
    <t>J023</t>
  </si>
  <si>
    <t>Three-year bank loan</t>
  </si>
  <si>
    <t>J024</t>
  </si>
  <si>
    <t>J025</t>
  </si>
  <si>
    <t>J026</t>
  </si>
  <si>
    <t>Arrangement fees</t>
  </si>
  <si>
    <t>J027</t>
  </si>
  <si>
    <t>Sold goods to Customer C on credit</t>
  </si>
  <si>
    <t>J028</t>
  </si>
  <si>
    <t>Cost of sales regarding goods sold to Customer C</t>
  </si>
  <si>
    <t>J029</t>
  </si>
  <si>
    <t>Employee salaries for January</t>
  </si>
  <si>
    <t>J030</t>
  </si>
  <si>
    <t>Part of balance paid by Customer B</t>
  </si>
  <si>
    <t>J031</t>
  </si>
  <si>
    <t>Advertising expens</t>
  </si>
  <si>
    <t>J032</t>
  </si>
  <si>
    <t>Received advance amount from Customer D for February sales</t>
  </si>
  <si>
    <t>J033</t>
  </si>
  <si>
    <t>Electricity and utilities</t>
  </si>
  <si>
    <t>J034</t>
  </si>
  <si>
    <t>Bank charges</t>
  </si>
  <si>
    <t>J035</t>
  </si>
  <si>
    <t>Fees for accounting and reporting work</t>
  </si>
  <si>
    <t>J036</t>
  </si>
  <si>
    <t>J037</t>
  </si>
  <si>
    <t>J038</t>
  </si>
  <si>
    <t>J039</t>
  </si>
  <si>
    <t>J040</t>
  </si>
  <si>
    <t>J041</t>
  </si>
  <si>
    <t>J042</t>
  </si>
  <si>
    <t>General Ledger</t>
  </si>
  <si>
    <t>Opening Balance</t>
  </si>
  <si>
    <t>Closing Balance</t>
  </si>
  <si>
    <t>Statement of Profit or Loss for the month ended 31st January 2026</t>
  </si>
  <si>
    <t>PROFIT OR LOSS</t>
  </si>
  <si>
    <t>Gross Profit</t>
  </si>
  <si>
    <t>Account Type</t>
  </si>
  <si>
    <t>Account Subtype</t>
  </si>
  <si>
    <t>Operating Profit</t>
  </si>
  <si>
    <t>Investment income</t>
  </si>
  <si>
    <t>Profit before financing and income taxes</t>
  </si>
  <si>
    <t>Profit before Income taxes</t>
  </si>
  <si>
    <t>Income Tax Expense</t>
  </si>
  <si>
    <t>Profit for the year ended</t>
  </si>
  <si>
    <t>Statement of Financial Position as at 31st January 2026</t>
  </si>
  <si>
    <t>ASSETS</t>
  </si>
  <si>
    <t>Non Current Assets</t>
  </si>
  <si>
    <t>Current Assets</t>
  </si>
  <si>
    <t>Total Assets</t>
  </si>
  <si>
    <t>EQUITY AND LIABILITIES</t>
  </si>
  <si>
    <t>J043</t>
  </si>
  <si>
    <t>Closing Entries</t>
  </si>
  <si>
    <t>Income Tax</t>
  </si>
  <si>
    <t>*Assuming income tax expense to be 45000</t>
  </si>
  <si>
    <t>Noncurrent liabilities</t>
  </si>
  <si>
    <t>Current Liabilities</t>
  </si>
  <si>
    <t>Total Equity and Liabilities</t>
  </si>
  <si>
    <t>Purchase of office furniture (5 years)</t>
  </si>
  <si>
    <t>Purchased computer equipment (3 years)</t>
  </si>
  <si>
    <t>Total</t>
  </si>
  <si>
    <t>(Change Account name using the dropdown to obtain individual ledger accounts)</t>
  </si>
  <si>
    <t>Profitability Ratios</t>
  </si>
  <si>
    <t>Gross Profit Margin (GPM)</t>
  </si>
  <si>
    <t>Operating Profit Margin (OPM)</t>
  </si>
  <si>
    <t>Return on Capital Employed (ROCE)</t>
  </si>
  <si>
    <t>Efficiency Ratios</t>
  </si>
  <si>
    <t>Inventory Days</t>
  </si>
  <si>
    <t>Receivable Days</t>
  </si>
  <si>
    <t>Payable Days</t>
  </si>
  <si>
    <t>Liquidity Ratios</t>
  </si>
  <si>
    <t>Current Ratio</t>
  </si>
  <si>
    <t>Quick (Acid Test) Ratio</t>
  </si>
  <si>
    <t>Solvency Ratios</t>
  </si>
  <si>
    <t>Interest Cover</t>
  </si>
  <si>
    <t>Earnings per Share (EPS)</t>
  </si>
  <si>
    <t>Investor Ratio</t>
  </si>
  <si>
    <t>Issued ordinary shares (at $1 per share)</t>
  </si>
  <si>
    <t>Gearing Ratio (debt/equity)</t>
  </si>
  <si>
    <t>Net Asset Turnover</t>
  </si>
  <si>
    <t>Closing Entry</t>
  </si>
  <si>
    <t>Additional January Salary (Adjusting)</t>
  </si>
  <si>
    <t>Additional electricity cost not yet invoiced (Adjusting)</t>
  </si>
  <si>
    <t>Furniture depreciation (Adjusting)</t>
  </si>
  <si>
    <t>Computer Equipment depreciation (Adjusting)</t>
  </si>
  <si>
    <t>Insurance expense for January (Adjusting)</t>
  </si>
  <si>
    <t>Writedown of inventory costing $5,000 (Adjusting)</t>
  </si>
  <si>
    <t>Interest expense for January (Adjusting)</t>
  </si>
  <si>
    <t>Income tax for the month (Adjusting)*</t>
  </si>
  <si>
    <t>Statement of Cash Flows for the month ended 31st January 2026</t>
  </si>
  <si>
    <t>Operating profit before depreciation</t>
  </si>
  <si>
    <t>Increase in Trade and other payables</t>
  </si>
  <si>
    <t>Increase in Trade and other receivables</t>
  </si>
  <si>
    <t>Increase in Inventory</t>
  </si>
  <si>
    <t>CASH FLOW FROM OPERATING ACTIVITIES</t>
  </si>
  <si>
    <t>Cash from operating activities before income taxes</t>
  </si>
  <si>
    <t>Net cash from operating activities</t>
  </si>
  <si>
    <t>CASH FLOW FROM INVESTING ACTIVITIES</t>
  </si>
  <si>
    <t>CASH FLOW FROM FINANCING ACTIVITIES</t>
  </si>
  <si>
    <t>Proceeds from ordinary share issue</t>
  </si>
  <si>
    <t>Purchase of Furniture and Fixtures</t>
  </si>
  <si>
    <t>Purchase of Computer equipment</t>
  </si>
  <si>
    <t>Income Tax Payable</t>
  </si>
  <si>
    <t>Proceeds of bank loan (less arrangement fee)</t>
  </si>
  <si>
    <t>Net cash used in investing activities</t>
  </si>
  <si>
    <t>Net cash from financing activities</t>
  </si>
  <si>
    <t>Net increase in cash and cash equivalents</t>
  </si>
  <si>
    <t>Cash and cash equivalents at beginning of period</t>
  </si>
  <si>
    <t>Cash and cash equivalents at end of period</t>
  </si>
  <si>
    <t>Adjusted Trial Balance</t>
  </si>
  <si>
    <t>Post-Closing Trial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</si>
</sst>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s&quot;* #,##0.00_-;\-&quot;Rs&quot;* #,##0.00_-;_-&quot;Rs&quot;* &quot;-&quot;??_-;_-@_-"/>
    <numFmt numFmtId="164" formatCode="_-[$$-409]* #,##0.00_ ;_-[$$-409]* \-#,##0.00\ ;_-[$$-409]* &quot;-&quot;??_ ;_-@_ "/>
    <numFmt numFmtId="165" formatCode="_-[$$-409]* #,##0.00;_-[$$-409]* \-#,##0.00;;@"/>
    <numFmt numFmtId="166" formatCode="_-[$$-409]* #,##0;_-[$$-409]* \-#,##0;;@"/>
    <numFmt numFmtId="167" formatCode="_-[$$-409]* #,##0;_-[$$-409]* \(#,##0\);;@"/>
    <numFmt numFmtId="168" formatCode="0.0%"/>
    <numFmt numFmtId="169" formatCode="0.00000000000000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0"/>
      <color theme="0"/>
      <name val="Arial"/>
      <family val="2"/>
    </font>
    <font>
      <sz val="8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 tint="0.34998626667073579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0" fontId="7" fillId="4" borderId="36" applyNumberFormat="0" applyAlignment="0" applyProtection="0"/>
  </cellStyleXfs>
  <cellXfs count="121">
    <xf numFmtId="0" fontId="0" fillId="0" borderId="0" xfId="0"/>
    <xf numFmtId="0" fontId="4" fillId="0" borderId="5" xfId="2" applyFont="1" applyBorder="1" applyAlignment="1">
      <alignment horizontal="center" vertical="center" wrapText="1"/>
    </xf>
    <xf numFmtId="0" fontId="4" fillId="0" borderId="6" xfId="2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8" xfId="0" applyBorder="1"/>
    <xf numFmtId="0" fontId="0" fillId="0" borderId="11" xfId="0" applyBorder="1"/>
    <xf numFmtId="14" fontId="0" fillId="0" borderId="7" xfId="0" applyNumberFormat="1" applyBorder="1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5" xfId="0" applyBorder="1"/>
    <xf numFmtId="0" fontId="0" fillId="0" borderId="8" xfId="0" applyBorder="1" applyAlignment="1">
      <alignment horizontal="right"/>
    </xf>
    <xf numFmtId="14" fontId="0" fillId="0" borderId="10" xfId="0" applyNumberFormat="1" applyBorder="1"/>
    <xf numFmtId="0" fontId="0" fillId="0" borderId="11" xfId="0" applyBorder="1" applyAlignment="1">
      <alignment horizontal="right"/>
    </xf>
    <xf numFmtId="0" fontId="0" fillId="0" borderId="0" xfId="0" applyAlignment="1">
      <alignment horizontal="center"/>
    </xf>
    <xf numFmtId="165" fontId="0" fillId="0" borderId="0" xfId="0" applyNumberFormat="1"/>
    <xf numFmtId="166" fontId="0" fillId="0" borderId="8" xfId="0" applyNumberFormat="1" applyBorder="1"/>
    <xf numFmtId="166" fontId="0" fillId="0" borderId="9" xfId="0" applyNumberFormat="1" applyBorder="1"/>
    <xf numFmtId="166" fontId="0" fillId="0" borderId="11" xfId="0" applyNumberFormat="1" applyBorder="1"/>
    <xf numFmtId="166" fontId="0" fillId="0" borderId="12" xfId="0" applyNumberFormat="1" applyBorder="1"/>
    <xf numFmtId="166" fontId="0" fillId="0" borderId="0" xfId="0" applyNumberFormat="1"/>
    <xf numFmtId="0" fontId="0" fillId="0" borderId="10" xfId="0" applyBorder="1"/>
    <xf numFmtId="0" fontId="0" fillId="0" borderId="17" xfId="0" applyBorder="1"/>
    <xf numFmtId="166" fontId="0" fillId="0" borderId="7" xfId="0" applyNumberFormat="1" applyBorder="1"/>
    <xf numFmtId="166" fontId="0" fillId="0" borderId="10" xfId="0" applyNumberFormat="1" applyBorder="1"/>
    <xf numFmtId="0" fontId="0" fillId="0" borderId="4" xfId="0" applyBorder="1"/>
    <xf numFmtId="166" fontId="0" fillId="0" borderId="4" xfId="0" applyNumberForma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applyNumberFormat="1"/>
    <xf numFmtId="1" fontId="4" fillId="0" borderId="4" xfId="2" applyNumberFormat="1" applyFont="1" applyBorder="1" applyAlignment="1">
      <alignment horizontal="center" vertical="center" wrapText="1"/>
    </xf>
    <xf numFmtId="1" fontId="0" fillId="0" borderId="7" xfId="0" applyNumberFormat="1" applyBorder="1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 wrapText="1"/>
    </xf>
    <xf numFmtId="167" fontId="0" fillId="0" borderId="0" xfId="1" applyNumberFormat="1" applyFont="1"/>
    <xf numFmtId="167" fontId="0" fillId="0" borderId="19" xfId="1" applyNumberFormat="1" applyFont="1" applyBorder="1"/>
    <xf numFmtId="167" fontId="0" fillId="0" borderId="28" xfId="1" applyNumberFormat="1" applyFont="1" applyBorder="1"/>
    <xf numFmtId="0" fontId="2" fillId="0" borderId="17" xfId="0" applyFont="1" applyBorder="1"/>
    <xf numFmtId="167" fontId="2" fillId="0" borderId="19" xfId="1" applyNumberFormat="1" applyFont="1" applyBorder="1"/>
    <xf numFmtId="0" fontId="2" fillId="0" borderId="26" xfId="0" applyFont="1" applyBorder="1"/>
    <xf numFmtId="1" fontId="0" fillId="0" borderId="10" xfId="0" applyNumberFormat="1" applyBorder="1" applyAlignment="1">
      <alignment horizontal="center"/>
    </xf>
    <xf numFmtId="167" fontId="0" fillId="0" borderId="5" xfId="0" applyNumberFormat="1" applyBorder="1"/>
    <xf numFmtId="167" fontId="0" fillId="0" borderId="6" xfId="0" applyNumberFormat="1" applyBorder="1"/>
    <xf numFmtId="167" fontId="0" fillId="0" borderId="8" xfId="0" applyNumberFormat="1" applyBorder="1"/>
    <xf numFmtId="167" fontId="0" fillId="0" borderId="9" xfId="0" applyNumberFormat="1" applyBorder="1"/>
    <xf numFmtId="167" fontId="0" fillId="0" borderId="11" xfId="0" applyNumberFormat="1" applyBorder="1"/>
    <xf numFmtId="167" fontId="0" fillId="0" borderId="12" xfId="0" applyNumberFormat="1" applyBorder="1"/>
    <xf numFmtId="167" fontId="0" fillId="0" borderId="0" xfId="0" applyNumberFormat="1"/>
    <xf numFmtId="167" fontId="0" fillId="0" borderId="19" xfId="0" applyNumberFormat="1" applyBorder="1" applyAlignment="1">
      <alignment horizontal="center"/>
    </xf>
    <xf numFmtId="167" fontId="0" fillId="0" borderId="19" xfId="0" applyNumberFormat="1" applyBorder="1"/>
    <xf numFmtId="166" fontId="0" fillId="0" borderId="17" xfId="0" applyNumberFormat="1" applyBorder="1"/>
    <xf numFmtId="167" fontId="0" fillId="0" borderId="27" xfId="0" applyNumberFormat="1" applyBorder="1"/>
    <xf numFmtId="167" fontId="0" fillId="0" borderId="29" xfId="0" applyNumberFormat="1" applyBorder="1"/>
    <xf numFmtId="167" fontId="0" fillId="0" borderId="30" xfId="0" applyNumberFormat="1" applyBorder="1"/>
    <xf numFmtId="167" fontId="6" fillId="0" borderId="28" xfId="1" applyNumberFormat="1" applyFont="1" applyBorder="1"/>
    <xf numFmtId="167" fontId="6" fillId="0" borderId="19" xfId="0" applyNumberFormat="1" applyFont="1" applyBorder="1"/>
    <xf numFmtId="167" fontId="6" fillId="0" borderId="28" xfId="0" applyNumberFormat="1" applyFont="1" applyBorder="1"/>
    <xf numFmtId="14" fontId="2" fillId="0" borderId="13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66" fontId="2" fillId="0" borderId="14" xfId="1" applyNumberFormat="1" applyFont="1" applyBorder="1" applyAlignment="1" applyProtection="1">
      <alignment horizontal="center"/>
    </xf>
    <xf numFmtId="166" fontId="2" fillId="0" borderId="15" xfId="1" applyNumberFormat="1" applyFont="1" applyBorder="1" applyAlignment="1" applyProtection="1">
      <alignment horizontal="center"/>
    </xf>
    <xf numFmtId="14" fontId="0" fillId="0" borderId="16" xfId="0" applyNumberFormat="1" applyBorder="1"/>
    <xf numFmtId="0" fontId="2" fillId="0" borderId="8" xfId="0" applyFont="1" applyBorder="1"/>
    <xf numFmtId="166" fontId="2" fillId="0" borderId="8" xfId="1" applyNumberFormat="1" applyFont="1" applyBorder="1" applyProtection="1"/>
    <xf numFmtId="166" fontId="2" fillId="0" borderId="18" xfId="1" applyNumberFormat="1" applyFont="1" applyBorder="1" applyProtection="1"/>
    <xf numFmtId="166" fontId="0" fillId="0" borderId="8" xfId="1" applyNumberFormat="1" applyFont="1" applyBorder="1" applyProtection="1"/>
    <xf numFmtId="166" fontId="0" fillId="0" borderId="18" xfId="1" applyNumberFormat="1" applyFont="1" applyBorder="1" applyProtection="1"/>
    <xf numFmtId="14" fontId="0" fillId="0" borderId="20" xfId="0" applyNumberFormat="1" applyBorder="1"/>
    <xf numFmtId="0" fontId="0" fillId="0" borderId="21" xfId="0" applyBorder="1" applyAlignment="1">
      <alignment horizontal="right"/>
    </xf>
    <xf numFmtId="0" fontId="2" fillId="0" borderId="21" xfId="0" applyFont="1" applyBorder="1"/>
    <xf numFmtId="166" fontId="2" fillId="0" borderId="21" xfId="1" applyNumberFormat="1" applyFont="1" applyBorder="1" applyProtection="1"/>
    <xf numFmtId="166" fontId="2" fillId="0" borderId="22" xfId="1" applyNumberFormat="1" applyFont="1" applyBorder="1" applyProtection="1"/>
    <xf numFmtId="166" fontId="0" fillId="0" borderId="0" xfId="1" applyNumberFormat="1" applyFont="1" applyProtection="1"/>
    <xf numFmtId="164" fontId="0" fillId="0" borderId="0" xfId="1" applyNumberFormat="1" applyFont="1" applyProtection="1"/>
    <xf numFmtId="0" fontId="0" fillId="0" borderId="16" xfId="0" applyBorder="1"/>
    <xf numFmtId="168" fontId="0" fillId="0" borderId="18" xfId="3" applyNumberFormat="1" applyFont="1" applyBorder="1" applyAlignment="1">
      <alignment horizontal="right"/>
    </xf>
    <xf numFmtId="0" fontId="0" fillId="0" borderId="20" xfId="0" applyBorder="1"/>
    <xf numFmtId="0" fontId="0" fillId="0" borderId="22" xfId="0" applyBorder="1" applyAlignment="1">
      <alignment horizontal="right"/>
    </xf>
    <xf numFmtId="0" fontId="0" fillId="0" borderId="18" xfId="0" applyBorder="1" applyAlignment="1">
      <alignment horizontal="right"/>
    </xf>
    <xf numFmtId="168" fontId="0" fillId="0" borderId="22" xfId="3" applyNumberFormat="1" applyFont="1" applyBorder="1" applyAlignment="1">
      <alignment horizontal="right"/>
    </xf>
    <xf numFmtId="0" fontId="0" fillId="0" borderId="31" xfId="0" applyBorder="1"/>
    <xf numFmtId="0" fontId="0" fillId="0" borderId="32" xfId="0" applyBorder="1" applyAlignment="1">
      <alignment horizontal="right"/>
    </xf>
    <xf numFmtId="0" fontId="0" fillId="0" borderId="33" xfId="0" applyBorder="1"/>
    <xf numFmtId="168" fontId="0" fillId="0" borderId="34" xfId="3" applyNumberFormat="1" applyFont="1" applyBorder="1" applyAlignment="1">
      <alignment horizontal="right"/>
    </xf>
    <xf numFmtId="0" fontId="0" fillId="0" borderId="34" xfId="0" applyBorder="1" applyAlignment="1">
      <alignment horizontal="right"/>
    </xf>
    <xf numFmtId="169" fontId="0" fillId="0" borderId="0" xfId="0" applyNumberFormat="1"/>
    <xf numFmtId="167" fontId="0" fillId="0" borderId="35" xfId="0" applyNumberFormat="1" applyBorder="1"/>
    <xf numFmtId="167" fontId="0" fillId="0" borderId="5" xfId="0" applyNumberFormat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0" fontId="0" fillId="0" borderId="7" xfId="0" applyBorder="1"/>
    <xf numFmtId="0" fontId="0" fillId="0" borderId="38" xfId="0" applyBorder="1"/>
    <xf numFmtId="167" fontId="0" fillId="0" borderId="39" xfId="0" applyNumberFormat="1" applyBorder="1"/>
    <xf numFmtId="167" fontId="0" fillId="0" borderId="37" xfId="0" applyNumberFormat="1" applyBorder="1"/>
    <xf numFmtId="0" fontId="0" fillId="0" borderId="40" xfId="0" applyBorder="1"/>
    <xf numFmtId="167" fontId="0" fillId="0" borderId="41" xfId="0" applyNumberFormat="1" applyBorder="1"/>
    <xf numFmtId="167" fontId="0" fillId="0" borderId="42" xfId="0" applyNumberFormat="1" applyBorder="1"/>
    <xf numFmtId="167" fontId="0" fillId="0" borderId="28" xfId="0" applyNumberFormat="1" applyBorder="1"/>
    <xf numFmtId="167" fontId="0" fillId="0" borderId="0" xfId="0" applyNumberFormat="1" applyAlignment="1">
      <alignment horizontal="center"/>
    </xf>
    <xf numFmtId="0" fontId="9" fillId="0" borderId="17" xfId="0" applyFont="1" applyBorder="1"/>
    <xf numFmtId="167" fontId="0" fillId="0" borderId="43" xfId="0" applyNumberFormat="1" applyBorder="1"/>
    <xf numFmtId="0" fontId="2" fillId="3" borderId="23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4" fontId="2" fillId="2" borderId="23" xfId="0" applyNumberFormat="1" applyFont="1" applyFill="1" applyBorder="1" applyAlignment="1">
      <alignment horizontal="center"/>
    </xf>
    <xf numFmtId="14" fontId="2" fillId="2" borderId="24" xfId="0" applyNumberFormat="1" applyFont="1" applyFill="1" applyBorder="1" applyAlignment="1">
      <alignment horizontal="center"/>
    </xf>
    <xf numFmtId="14" fontId="2" fillId="2" borderId="25" xfId="0" applyNumberFormat="1" applyFont="1" applyFill="1" applyBorder="1" applyAlignment="1">
      <alignment horizontal="center"/>
    </xf>
    <xf numFmtId="0" fontId="8" fillId="5" borderId="36" xfId="4" applyFont="1" applyFill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5">
    <cellStyle name="Check Cell" xfId="4" builtinId="23"/>
    <cellStyle name="Currency" xfId="1" builtinId="4"/>
    <cellStyle name="Normal" xfId="0" builtinId="0"/>
    <cellStyle name="Normal 2" xfId="2" xr:uid="{FEFA5031-7505-4BCB-AD74-C54164EC5ED2}"/>
    <cellStyle name="Percent" xfId="3" builtinId="5"/>
  </cellStyles>
  <dxfs count="58">
    <dxf>
      <numFmt numFmtId="166" formatCode="_-[$$-409]* #,##0;_-[$$-409]* \-#,##0;;@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6" formatCode="_-[$$-409]* #,##0;_-[$$-409]* \-#,##0;;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7" formatCode="_-[$$-409]* #,##0;_-[$$-409]* \(#,##0\);;@"/>
      <border diagonalUp="0" diagonalDown="0" outline="0">
        <left style="thin">
          <color indexed="64"/>
        </left>
        <right/>
        <top/>
        <bottom/>
      </border>
    </dxf>
    <dxf>
      <numFmt numFmtId="167" formatCode="_-[$$-409]* #,##0;_-[$$-409]* \(#,##0\);;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-[$$-409]* #,##0;_-[$$-409]* \(#,##0\);;@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7" formatCode="_-[$$-409]* #,##0;_-[$$-409]* \(#,##0\);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numFmt numFmtId="166" formatCode="_-[$$-409]* #,##0;_-[$$-409]* \-#,##0;;@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numFmt numFmtId="166" formatCode="_-[$$-409]* #,##0;_-[$$-409]* \-#,##0;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_-[$$-409]* #,##0;_-[$$-409]* \(#,##0\);;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-[$$-409]* #,##0;_-[$$-409]* \(#,##0\);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6" formatCode="_-[$$-409]* #,##0;_-[$$-409]* \-#,##0;;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[$$-409]* #,##0;_-[$$-409]* \-#,##0;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numFmt numFmtId="166" formatCode="_-[$$-409]* #,##0;_-[$$-409]* \-#,##0;;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/>
        <top/>
        <bottom/>
      </border>
    </dxf>
    <dxf>
      <numFmt numFmtId="166" formatCode="_-[$$-409]* #,##0;_-[$$-409]* \-#,##0;;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_-[$$-409]* #,##0;_-[$$-409]* \-#,##0;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/>
        <bottom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numFmt numFmtId="1" formatCode="0"/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C7849A-E754-4414-AA7B-CAF252824A5C}" name="chart_of_accounts" displayName="chart_of_accounts" ref="B3:E32" totalsRowShown="0" headerRowDxfId="57" headerRowBorderDxfId="56" tableBorderDxfId="55" totalsRowBorderDxfId="54" headerRowCellStyle="Normal 2">
  <autoFilter ref="B3:E32" xr:uid="{FDC7849A-E754-4414-AA7B-CAF252824A5C}"/>
  <sortState xmlns:xlrd2="http://schemas.microsoft.com/office/spreadsheetml/2017/richdata2" ref="B4:E32">
    <sortCondition ref="B3:B32"/>
  </sortState>
  <tableColumns count="4">
    <tableColumn id="1" xr3:uid="{6A253C8A-8C8D-4995-A184-C25D8AECF4AC}" name="Code" dataDxfId="53"/>
    <tableColumn id="2" xr3:uid="{56114750-4DDB-4CB6-8A4A-57D70B780DE0}" name="Account name" dataDxfId="52"/>
    <tableColumn id="6" xr3:uid="{D23B28CF-5151-470A-A626-4E7C7C587E90}" name="Account Type" dataDxfId="51"/>
    <tableColumn id="3" xr3:uid="{A5B534FE-24DD-4AD3-9450-EC42D7CE1EF6}" name="Account Subtype" dataDxfId="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246C22-0541-4244-9DB2-4F6A5F12E858}" name="general_journal" displayName="general_journal" ref="B3:H90" totalsRowCount="1" headerRowDxfId="49" headerRowBorderDxfId="48" tableBorderDxfId="47" totalsRowBorderDxfId="46">
  <autoFilter ref="B3:H89" xr:uid="{84246C22-0541-4244-9DB2-4F6A5F12E858}"/>
  <tableColumns count="7">
    <tableColumn id="1" xr3:uid="{B159E40C-CFCE-4D3E-BEC8-72356C7F3050}" name="Date" totalsRowLabel="Total" dataDxfId="45" totalsRowDxfId="44"/>
    <tableColumn id="2" xr3:uid="{38046156-1BA2-4E58-AD9A-F362461E0AB4}" name="JRN No." dataDxfId="43" totalsRowDxfId="42"/>
    <tableColumn id="3" xr3:uid="{8922DEBC-D9E2-422F-9567-9C93BB629BE6}" name="Code" dataDxfId="41" totalsRowDxfId="40">
      <calculatedColumnFormula>_xlfn.XLOOKUP(general_journal!$E4, chart_of_accounts[Account name], chart_of_accounts[Code])</calculatedColumnFormula>
    </tableColumn>
    <tableColumn id="4" xr3:uid="{13614735-E609-47C6-BF4B-EB8591824965}" name="Account Name" dataDxfId="39" totalsRowDxfId="38"/>
    <tableColumn id="5" xr3:uid="{58809B26-748F-481F-8321-F41326817453}" name="Description" dataDxfId="37" totalsRowDxfId="36"/>
    <tableColumn id="6" xr3:uid="{CBF8ABF8-B49E-40EB-BBA9-19FAB5C4DDE9}" name="Debit" totalsRowFunction="sum" dataDxfId="35" totalsRowDxfId="34"/>
    <tableColumn id="7" xr3:uid="{D3515100-EC96-4ABF-828F-42280A5A4AB9}" name="Credit" totalsRowFunction="sum" dataDxfId="33" totalsRowDxfId="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98DD8AC-5E0C-42DC-AD17-FA32C673A76C}" name="adjusted_trial_balance" displayName="adjusted_trial_balance" ref="B3:D33" totalsRowCount="1" headerRowDxfId="31" headerRowBorderDxfId="30" tableBorderDxfId="29" totalsRowBorderDxfId="28">
  <autoFilter ref="B3:D32" xr:uid="{598DD8AC-5E0C-42DC-AD17-FA32C673A76C}"/>
  <tableColumns count="3">
    <tableColumn id="1" xr3:uid="{4975D9EF-7364-4268-B75A-82C69567A551}" name="Account Name" totalsRowLabel="Total" dataDxfId="27" totalsRowDxfId="2">
      <calculatedColumnFormula>chart_of_accounts[[#This Row],[Account name]]</calculatedColumnFormula>
    </tableColumn>
    <tableColumn id="2" xr3:uid="{C7DDC7F1-E8BB-451E-A286-43277338F245}" name="Debit" totalsRowFunction="sum" dataDxfId="26" totalsRowDxfId="1">
      <calculatedColumnFormula array="1">IFERROR(
IF(
SUM(IFERROR(_xlfn._xlws.FILTER(general_journal[Debit], general_journal[Account Name] = B4), 0)) &gt; SUM(IFERROR(_xlfn._xlws.FILTER(general_journal[Credit], general_journal[Account Name] = B4), 0)),
SUM(IFERROR(_xlfn._xlws.FILTER(general_journal[Debit], general_journal[Account Name] = B4), 0)) - SUM(IFERROR(_xlfn._xlws.FILTER(general_journal[Credit], general_journal[Account Name] = B4), 0)),
0 ),
0)</calculatedColumnFormula>
    </tableColumn>
    <tableColumn id="3" xr3:uid="{72F1F2BE-B134-4C86-8270-565A66905C42}" name="Credit" totalsRowFunction="sum" dataDxfId="25" totalsRowDxfId="0">
      <calculatedColumnFormula array="1">IFERROR(
IF(
SUM(IFERROR(_xlfn._xlws.FILTER(general_journal[Debit], general_journal[Account Name] = B4), 0)) &lt; SUM(IFERROR(_xlfn._xlws.FILTER(general_journal[Credit], general_journal[Account Name] = B4), 0)),
SUM(IFERROR(_xlfn._xlws.FILTER(general_journal[Credit], general_journal[Account Name] = B4), 0)) - SUM(IFERROR(_xlfn._xlws.FILTER(general_journal[Debit], general_journal[Account Name] = B4), 0)),
0 ),
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5C9D8B8-F63B-4C4D-B89E-2D203677745B}" name="closing_entries" displayName="closing_entries" ref="B3:H19" totalsRowShown="0" headerRowDxfId="24" headerRowBorderDxfId="23" tableBorderDxfId="22" totalsRowBorderDxfId="21">
  <autoFilter ref="B3:H19" xr:uid="{55C9D8B8-F63B-4C4D-B89E-2D203677745B}"/>
  <tableColumns count="7">
    <tableColumn id="1" xr3:uid="{61ACBA95-4EA3-4959-9730-6993328EFDE0}" name="Date" dataDxfId="20"/>
    <tableColumn id="2" xr3:uid="{1CDA700D-4033-49C9-A247-2153D6EC5E22}" name="JRN No." dataDxfId="19"/>
    <tableColumn id="3" xr3:uid="{C2CC0C55-D717-45E5-9AF4-C0FDC6BD37E7}" name="Code" dataDxfId="18">
      <calculatedColumnFormula>_xlfn.XLOOKUP(E4, chart_of_accounts[Account name], chart_of_accounts[Code])</calculatedColumnFormula>
    </tableColumn>
    <tableColumn id="4" xr3:uid="{A681D1F8-A0DA-4EE6-A526-2E82A7BE4C9F}" name="Account Name" dataDxfId="17"/>
    <tableColumn id="5" xr3:uid="{CDDDE144-4DC5-4168-B7D7-CABE74008950}" name="Description" dataDxfId="16"/>
    <tableColumn id="6" xr3:uid="{806703F6-C7C4-4B44-9E33-C39B543D2EC5}" name="Debit" dataDxfId="15"/>
    <tableColumn id="7" xr3:uid="{DF6A20F6-3FCC-4DC2-BD24-F90B0ADBEC65}" name="Credit" dataDxfId="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6DFCDC-D010-409C-9136-2E06D4A9457A}" name="post_closing_trial_balance" displayName="post_closing_trial_balance" ref="B3:D33" totalsRowCount="1" headerRowDxfId="13" totalsRowDxfId="10" headerRowBorderDxfId="12" tableBorderDxfId="11" totalsRowBorderDxfId="9">
  <autoFilter ref="B3:D32" xr:uid="{966DFCDC-D010-409C-9136-2E06D4A9457A}"/>
  <tableColumns count="3">
    <tableColumn id="1" xr3:uid="{7FE297CD-3C7E-42F1-AE67-A963B6E822FC}" name="Account Name" totalsRowLabel="Total" dataDxfId="8" totalsRowDxfId="7">
      <calculatedColumnFormula>chart_of_accounts[[#This Row],[Account name]]</calculatedColumnFormula>
    </tableColumn>
    <tableColumn id="2" xr3:uid="{2B37B115-2451-47A4-AAA8-343AAD3F7B3F}" name="Debit" totalsRowFunction="sum" dataDxfId="6" totalsRowDxfId="5">
      <calculatedColumnFormula array="1">IFERROR(
IF(
SUM(
IFERROR(_xlfn._xlws.FILTER(general_journal[Debit], general_journal[Account Name] = B4), 0), IFERROR(_xlfn._xlws.FILTER(closing_entries[Debit], closing_entries[Account Name] = B4), 0)
) &gt; SUM(
IFERROR(_xlfn._xlws.FILTER(general_journal[Credit], general_journal[Account Name] = B4), 0),  IFERROR(_xlfn._xlws.FILTER(closing_entries[Credit], closing_entries[Account Name] = B4), 0)),
SUM(
IFERROR(_xlfn._xlws.FILTER(general_journal[Debit], general_journal[Account Name] = B4), 0), IFERROR(_xlfn._xlws.FILTER(closing_entries[Debit], closing_entries[Account Name] = B4), 0)
) - SUM(
IFERROR(_xlfn._xlws.FILTER(general_journal[Credit], general_journal[Account Name] = B4), 0),  IFERROR(_xlfn._xlws.FILTER(closing_entries[Credit], closing_entries[Account Name] = B4), 0)),
0 ),
0)</calculatedColumnFormula>
    </tableColumn>
    <tableColumn id="3" xr3:uid="{FA4B8B55-8AD4-4413-AADC-9DDE04F30265}" name="Credit" totalsRowFunction="sum" dataDxfId="4" totalsRowDxfId="3">
      <calculatedColumnFormula array="1">IFERROR(
IF(
SUM(
IFERROR(_xlfn._xlws.FILTER(general_journal[Debit], general_journal[Account Name] = B4), 0), IFERROR(_xlfn._xlws.FILTER(closing_entries[Debit], closing_entries[Account Name] = B4), 0)
) &lt; SUM(
IFERROR(_xlfn._xlws.FILTER(general_journal[Credit], general_journal[Account Name] = B4), 0),  IFERROR(_xlfn._xlws.FILTER(closing_entries[Credit], closing_entries[Account Name] = B4), 0)
), SUM(
IFERROR(_xlfn._xlws.FILTER(general_journal[Credit], general_journal[Account Name] = B4), 0),  IFERROR(_xlfn._xlws.FILTER(closing_entries[Credit], closing_entries[Account Name] = B4), 0)
) - SUM(
IFERROR(_xlfn._xlws.FILTER(general_journal[Debit], general_journal[Account Name] = B4), 0), IFERROR(_xlfn._xlws.FILTER(closing_entries[Debit], closing_entries[Account Name] = B4), 0)
),
0 ),
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1033B-789B-4AF5-B0E5-760BBBCE74BD}">
  <dimension ref="A1:F27"/>
  <sheetViews>
    <sheetView showGridLines="0" tabSelected="1" workbookViewId="0"/>
  </sheetViews>
  <sheetFormatPr defaultColWidth="0" defaultRowHeight="14.5" zeroHeight="1" x14ac:dyDescent="0.35"/>
  <cols>
    <col min="1" max="1" width="8.7265625" customWidth="1"/>
    <col min="2" max="2" width="29.7265625" bestFit="1" customWidth="1"/>
    <col min="3" max="3" width="10.26953125" style="11" bestFit="1" customWidth="1"/>
    <col min="4" max="4" width="8.7265625" customWidth="1"/>
    <col min="5" max="5" width="29.7265625" hidden="1" customWidth="1"/>
    <col min="6" max="6" width="10.26953125" hidden="1" customWidth="1"/>
    <col min="7" max="7" width="8.7265625" hidden="1" customWidth="1"/>
    <col min="8" max="16384" width="8.7265625" hidden="1"/>
  </cols>
  <sheetData>
    <row r="1" spans="2:5" ht="15" thickBot="1" x14ac:dyDescent="0.4"/>
    <row r="2" spans="2:5" ht="15" thickBot="1" x14ac:dyDescent="0.4">
      <c r="B2" s="103" t="s">
        <v>169</v>
      </c>
      <c r="C2" s="104"/>
    </row>
    <row r="3" spans="2:5" ht="15" thickBot="1" x14ac:dyDescent="0.4">
      <c r="B3" s="83" t="s">
        <v>168</v>
      </c>
      <c r="C3" s="84" t="str">
        <f>ROUND(SOPL!C24/500000 * 100, 1)&amp;" cents"</f>
        <v>21.9 cents</v>
      </c>
    </row>
    <row r="4" spans="2:5" x14ac:dyDescent="0.35"/>
    <row r="5" spans="2:5" ht="15" thickBot="1" x14ac:dyDescent="0.4"/>
    <row r="6" spans="2:5" ht="15" thickBot="1" x14ac:dyDescent="0.4">
      <c r="B6" s="103" t="s">
        <v>155</v>
      </c>
      <c r="C6" s="104"/>
    </row>
    <row r="7" spans="2:5" x14ac:dyDescent="0.35">
      <c r="B7" s="85" t="s">
        <v>156</v>
      </c>
      <c r="C7" s="86">
        <f>SOPL!C8/SUM(SOPL!C4:C5)</f>
        <v>0.4218146718146718</v>
      </c>
    </row>
    <row r="8" spans="2:5" x14ac:dyDescent="0.35">
      <c r="B8" s="77" t="s">
        <v>157</v>
      </c>
      <c r="C8" s="78">
        <f>SOPL!C18/SUM(SOPL!C4:C5)</f>
        <v>0.2997425997425997</v>
      </c>
    </row>
    <row r="9" spans="2:5" ht="15" thickBot="1" x14ac:dyDescent="0.4">
      <c r="B9" s="79" t="s">
        <v>158</v>
      </c>
      <c r="C9" s="82">
        <f>SOPL!C20/SUM(SOFP!D17,SOFP!D20)</f>
        <v>0.20476525408827148</v>
      </c>
    </row>
    <row r="10" spans="2:5" x14ac:dyDescent="0.35"/>
    <row r="11" spans="2:5" ht="15" thickBot="1" x14ac:dyDescent="0.4"/>
    <row r="12" spans="2:5" ht="15" thickBot="1" x14ac:dyDescent="0.4">
      <c r="B12" s="103" t="s">
        <v>159</v>
      </c>
      <c r="C12" s="104"/>
    </row>
    <row r="13" spans="2:5" x14ac:dyDescent="0.35">
      <c r="B13" s="85" t="s">
        <v>172</v>
      </c>
      <c r="C13" s="87" t="str">
        <f>ROUND(SUM(SOPL!C4:C5)/SUM(SOFP!D17:D20), 2)&amp; " times"</f>
        <v>0.68 times</v>
      </c>
    </row>
    <row r="14" spans="2:5" x14ac:dyDescent="0.35">
      <c r="B14" s="77" t="s">
        <v>160</v>
      </c>
      <c r="C14" s="81" t="str">
        <f>ROUND(31 * SOFP!C7/(298000), 0)&amp;" days"</f>
        <v>8 days</v>
      </c>
    </row>
    <row r="15" spans="2:5" x14ac:dyDescent="0.35">
      <c r="B15" s="77" t="s">
        <v>161</v>
      </c>
      <c r="C15" s="81" t="str">
        <f>ROUND(31 * SOFP!C8/395000, 0)&amp;" days"</f>
        <v>18 days</v>
      </c>
    </row>
    <row r="16" spans="2:5" ht="15" thickBot="1" x14ac:dyDescent="0.4">
      <c r="B16" s="79" t="s">
        <v>162</v>
      </c>
      <c r="C16" s="80" t="str">
        <f>ROUND(31 * SOFP!C22/319000, 0)&amp;" days"</f>
        <v>26 days</v>
      </c>
      <c r="E16" s="88"/>
    </row>
    <row r="17" spans="2:3" x14ac:dyDescent="0.35"/>
    <row r="18" spans="2:3" ht="15" thickBot="1" x14ac:dyDescent="0.4"/>
    <row r="19" spans="2:3" ht="15" thickBot="1" x14ac:dyDescent="0.4">
      <c r="B19" s="103" t="s">
        <v>163</v>
      </c>
      <c r="C19" s="104"/>
    </row>
    <row r="20" spans="2:3" x14ac:dyDescent="0.35">
      <c r="B20" s="85" t="s">
        <v>164</v>
      </c>
      <c r="C20" s="87" t="str">
        <f>ROUND(SUM(SOFP!C7:C10)/SUM(SOFP!C22:C24), 2)&amp;" : 1"</f>
        <v>3.46 : 1</v>
      </c>
    </row>
    <row r="21" spans="2:3" ht="15" thickBot="1" x14ac:dyDescent="0.4">
      <c r="B21" s="79" t="s">
        <v>165</v>
      </c>
      <c r="C21" s="80" t="str">
        <f>ROUND(SUM(SOFP!C8:C10)/SUM(SOFP!C22:C24), 2)&amp;" : 1"</f>
        <v>3.22 : 1</v>
      </c>
    </row>
    <row r="22" spans="2:3" x14ac:dyDescent="0.35"/>
    <row r="23" spans="2:3" ht="15" thickBot="1" x14ac:dyDescent="0.4"/>
    <row r="24" spans="2:3" ht="15" thickBot="1" x14ac:dyDescent="0.4">
      <c r="B24" s="103" t="s">
        <v>166</v>
      </c>
      <c r="C24" s="104"/>
    </row>
    <row r="25" spans="2:3" x14ac:dyDescent="0.35">
      <c r="B25" s="85" t="s">
        <v>171</v>
      </c>
      <c r="C25" s="86">
        <f>SOFP!D20/SOFP!D17</f>
        <v>0.24455629718787614</v>
      </c>
    </row>
    <row r="26" spans="2:3" ht="15" thickBot="1" x14ac:dyDescent="0.4">
      <c r="B26" s="79" t="s">
        <v>167</v>
      </c>
      <c r="C26" s="80" t="str">
        <f>ROUND(ABS(SOPL!C18/SUM(SOPL!C21:C21)), 1)&amp;" times"</f>
        <v>155.3 times</v>
      </c>
    </row>
    <row r="27" spans="2:3" x14ac:dyDescent="0.35"/>
  </sheetData>
  <sheetProtection algorithmName="SHA-512" hashValue="msFpb3RRf90iI5F3iqC8X8ra+SuQLtuag9atZIHOuCJqQ/8f831cgWb4rgh3BNShl19bkRzecM4DtLeV9wqjyQ==" saltValue="e1IFYgjS8dxePAexxC+p3g==" spinCount="100000" sheet="1" objects="1" scenarios="1"/>
  <mergeCells count="5">
    <mergeCell ref="B6:C6"/>
    <mergeCell ref="B12:C12"/>
    <mergeCell ref="B19:C19"/>
    <mergeCell ref="B24:C24"/>
    <mergeCell ref="B2:C2"/>
  </mergeCells>
  <pageMargins left="0.70866141732283472" right="0.70866141732283472" top="0.74803149606299213" bottom="0.74803149606299213" header="0.31496062992125984" footer="0.31496062992125984"/>
  <pageSetup paperSize="9" scale="15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1BDA5-1DBC-420D-B7BE-56D0051F923F}">
  <sheetPr codeName="Sheet6"/>
  <dimension ref="A1:D26"/>
  <sheetViews>
    <sheetView showGridLines="0" zoomScaleNormal="100" workbookViewId="0"/>
  </sheetViews>
  <sheetFormatPr defaultColWidth="0" defaultRowHeight="14.5" zeroHeight="1" x14ac:dyDescent="0.35"/>
  <cols>
    <col min="1" max="1" width="8.7265625" customWidth="1"/>
    <col min="2" max="2" width="35" customWidth="1"/>
    <col min="3" max="3" width="17.54296875" style="37" customWidth="1"/>
    <col min="4" max="4" width="8.7265625" customWidth="1"/>
    <col min="5" max="16384" width="8.7265625" hidden="1"/>
  </cols>
  <sheetData>
    <row r="1" spans="2:3" ht="15" thickBot="1" x14ac:dyDescent="0.4"/>
    <row r="2" spans="2:3" ht="35.5" customHeight="1" thickBot="1" x14ac:dyDescent="0.4">
      <c r="B2" s="105" t="s">
        <v>127</v>
      </c>
      <c r="C2" s="106"/>
    </row>
    <row r="3" spans="2:3" x14ac:dyDescent="0.35">
      <c r="B3" s="24" t="s">
        <v>128</v>
      </c>
      <c r="C3" s="38"/>
    </row>
    <row r="4" spans="2:3" x14ac:dyDescent="0.35">
      <c r="B4" s="24" t="str" cm="1">
        <f t="array" ref="B4:B7">_xlfn._xlws.FILTER(chart_of_accounts[Account name], (chart_of_accounts[Code]&gt;=4000) * ( chart_of_accounts[Code]&lt;6000))</f>
        <v>Revenue – Sale of Goods</v>
      </c>
      <c r="C4" s="38">
        <f>_xlfn.XLOOKUP(B4, adjusted_trial_balance[Account Name], adjusted_trial_balance[Credit]) - _xlfn.XLOOKUP(B4, adjusted_trial_balance[Account Name], adjusted_trial_balance[Debit])</f>
        <v>530000</v>
      </c>
    </row>
    <row r="5" spans="2:3" x14ac:dyDescent="0.35">
      <c r="B5" s="24" t="str">
        <v>Sales Returns</v>
      </c>
      <c r="C5" s="38">
        <f>_xlfn.XLOOKUP(B5, adjusted_trial_balance[Account Name], adjusted_trial_balance[Credit]) - _xlfn.XLOOKUP(B5, adjusted_trial_balance[Account Name], adjusted_trial_balance[Debit])</f>
        <v>-12000</v>
      </c>
    </row>
    <row r="6" spans="2:3" x14ac:dyDescent="0.35">
      <c r="B6" s="24" t="str">
        <v>Cost of Sales</v>
      </c>
      <c r="C6" s="38">
        <f>_xlfn.XLOOKUP(B6, adjusted_trial_balance[Account Name], adjusted_trial_balance[Credit]) - _xlfn.XLOOKUP(B6, adjusted_trial_balance[Account Name], adjusted_trial_balance[Debit])</f>
        <v>-298000</v>
      </c>
    </row>
    <row r="7" spans="2:3" ht="15" thickBot="1" x14ac:dyDescent="0.4">
      <c r="B7" s="24" t="str">
        <v>Inventory Write-down</v>
      </c>
      <c r="C7" s="39">
        <f>_xlfn.XLOOKUP(B7, adjusted_trial_balance[Account Name], adjusted_trial_balance[Credit]) - _xlfn.XLOOKUP(B7, adjusted_trial_balance[Account Name], adjusted_trial_balance[Debit])</f>
        <v>-1500</v>
      </c>
    </row>
    <row r="8" spans="2:3" x14ac:dyDescent="0.35">
      <c r="B8" s="40" t="s">
        <v>129</v>
      </c>
      <c r="C8" s="41">
        <f>SUM(C4:C7)</f>
        <v>218500</v>
      </c>
    </row>
    <row r="9" spans="2:3" x14ac:dyDescent="0.35">
      <c r="B9" s="24" t="str" cm="1">
        <f t="array" ref="B9:B17">_xlfn._xlws.FILTER(chart_of_accounts[Account name], (chart_of_accounts[Code]&gt;=6000) * ( chart_of_accounts[Code]&lt;7000))</f>
        <v>Salaries &amp; Wages</v>
      </c>
      <c r="C9" s="38">
        <f>_xlfn.XLOOKUP(B9, adjusted_trial_balance[Account Name], adjusted_trial_balance[Credit]) - _xlfn.XLOOKUP(B9, adjusted_trial_balance[Account Name], adjusted_trial_balance[Debit])</f>
        <v>-20500</v>
      </c>
    </row>
    <row r="10" spans="2:3" x14ac:dyDescent="0.35">
      <c r="B10" s="24" t="str">
        <v>Rent Expense</v>
      </c>
      <c r="C10" s="38">
        <f>_xlfn.XLOOKUP(B10, adjusted_trial_balance[Account Name], adjusted_trial_balance[Credit]) - _xlfn.XLOOKUP(B10, adjusted_trial_balance[Account Name], adjusted_trial_balance[Debit])</f>
        <v>-8000</v>
      </c>
    </row>
    <row r="11" spans="2:3" x14ac:dyDescent="0.35">
      <c r="B11" s="24" t="str">
        <v>Insurance Expense</v>
      </c>
      <c r="C11" s="38">
        <f>_xlfn.XLOOKUP(B11, adjusted_trial_balance[Account Name], adjusted_trial_balance[Credit]) - _xlfn.XLOOKUP(B11, adjusted_trial_balance[Account Name], adjusted_trial_balance[Debit])</f>
        <v>-1000</v>
      </c>
    </row>
    <row r="12" spans="2:3" x14ac:dyDescent="0.35">
      <c r="B12" s="24" t="str">
        <v>Advertising Expense</v>
      </c>
      <c r="C12" s="38">
        <f>_xlfn.XLOOKUP(B12, adjusted_trial_balance[Account Name], adjusted_trial_balance[Credit]) - _xlfn.XLOOKUP(B12, adjusted_trial_balance[Account Name], adjusted_trial_balance[Debit])</f>
        <v>-5000</v>
      </c>
    </row>
    <row r="13" spans="2:3" x14ac:dyDescent="0.35">
      <c r="B13" s="24" t="str">
        <v>Utilities Expense</v>
      </c>
      <c r="C13" s="38">
        <f>_xlfn.XLOOKUP(B13, adjusted_trial_balance[Account Name], adjusted_trial_balance[Credit]) - _xlfn.XLOOKUP(B13, adjusted_trial_balance[Account Name], adjusted_trial_balance[Debit])</f>
        <v>-5700</v>
      </c>
    </row>
    <row r="14" spans="2:3" x14ac:dyDescent="0.35">
      <c r="B14" s="24" t="str">
        <v>Stationery Expense</v>
      </c>
      <c r="C14" s="38">
        <f>_xlfn.XLOOKUP(B14, adjusted_trial_balance[Account Name], adjusted_trial_balance[Credit]) - _xlfn.XLOOKUP(B14, adjusted_trial_balance[Account Name], adjusted_trial_balance[Debit])</f>
        <v>-1800</v>
      </c>
    </row>
    <row r="15" spans="2:3" x14ac:dyDescent="0.35">
      <c r="B15" s="24" t="str">
        <v>Professional Fees</v>
      </c>
      <c r="C15" s="38">
        <f>_xlfn.XLOOKUP(B15, adjusted_trial_balance[Account Name], adjusted_trial_balance[Credit]) - _xlfn.XLOOKUP(B15, adjusted_trial_balance[Account Name], adjusted_trial_balance[Debit])</f>
        <v>-18000</v>
      </c>
    </row>
    <row r="16" spans="2:3" x14ac:dyDescent="0.35">
      <c r="B16" s="24" t="str">
        <v>Depreciation Expense</v>
      </c>
      <c r="C16" s="38">
        <f>_xlfn.XLOOKUP(B16, adjusted_trial_balance[Account Name], adjusted_trial_balance[Credit]) - _xlfn.XLOOKUP(B16, adjusted_trial_balance[Account Name], adjusted_trial_balance[Debit])</f>
        <v>-1233.3333333333335</v>
      </c>
    </row>
    <row r="17" spans="2:3" ht="15" thickBot="1" x14ac:dyDescent="0.4">
      <c r="B17" s="24" t="str">
        <v>Bank Charges</v>
      </c>
      <c r="C17" s="39">
        <f>_xlfn.XLOOKUP(B17, adjusted_trial_balance[Account Name], adjusted_trial_balance[Credit]) - _xlfn.XLOOKUP(B17, adjusted_trial_balance[Account Name], adjusted_trial_balance[Debit])</f>
        <v>-2000</v>
      </c>
    </row>
    <row r="18" spans="2:3" x14ac:dyDescent="0.35">
      <c r="B18" s="40" t="s">
        <v>132</v>
      </c>
      <c r="C18" s="41">
        <f>SUM(C8:C17)</f>
        <v>155266.66666666666</v>
      </c>
    </row>
    <row r="19" spans="2:3" ht="15" thickBot="1" x14ac:dyDescent="0.4">
      <c r="B19" s="24" t="s">
        <v>133</v>
      </c>
      <c r="C19" s="39">
        <v>0</v>
      </c>
    </row>
    <row r="20" spans="2:3" x14ac:dyDescent="0.35">
      <c r="B20" s="40" t="s">
        <v>134</v>
      </c>
      <c r="C20" s="41">
        <f>SUM(C18:C19)</f>
        <v>155266.66666666666</v>
      </c>
    </row>
    <row r="21" spans="2:3" x14ac:dyDescent="0.35">
      <c r="B21" s="24" t="str" cm="1">
        <f t="array" ref="B21">_xlfn._xlws.FILTER(chart_of_accounts[Account name], (chart_of_accounts[Code]&gt;=7000) * ( chart_of_accounts[Code]&lt;8000))</f>
        <v>Loan Interest Expense</v>
      </c>
      <c r="C21" s="38">
        <f>_xlfn.XLOOKUP(B21, adjusted_trial_balance[Account Name], adjusted_trial_balance[Credit]) - _xlfn.XLOOKUP(B21, adjusted_trial_balance[Account Name], adjusted_trial_balance[Debit])</f>
        <v>-1000</v>
      </c>
    </row>
    <row r="22" spans="2:3" x14ac:dyDescent="0.35">
      <c r="B22" s="40" t="s">
        <v>135</v>
      </c>
      <c r="C22" s="41">
        <f>SUM(C20:C21)</f>
        <v>154266.66666666666</v>
      </c>
    </row>
    <row r="23" spans="2:3" ht="15" thickBot="1" x14ac:dyDescent="0.4">
      <c r="B23" s="24" t="str" cm="1">
        <f t="array" ref="B23">_xlfn._xlws.FILTER(chart_of_accounts[Account name], (chart_of_accounts[Code]&gt;=8000))</f>
        <v>Income Tax Expense</v>
      </c>
      <c r="C23" s="39">
        <f>_xlfn.XLOOKUP(B23, adjusted_trial_balance[Account Name], adjusted_trial_balance[Credit]) - _xlfn.XLOOKUP(B23, adjusted_trial_balance[Account Name], adjusted_trial_balance[Debit])</f>
        <v>-45000</v>
      </c>
    </row>
    <row r="24" spans="2:3" ht="15" thickBot="1" x14ac:dyDescent="0.4">
      <c r="B24" s="42" t="s">
        <v>137</v>
      </c>
      <c r="C24" s="57">
        <f>SUM(C22:C23)</f>
        <v>109266.66666666666</v>
      </c>
    </row>
    <row r="25" spans="2:3" x14ac:dyDescent="0.35"/>
    <row r="26" spans="2:3" x14ac:dyDescent="0.35"/>
  </sheetData>
  <sheetProtection algorithmName="SHA-512" hashValue="NE9t6UeGA4DpWFpq4seYSFYud8YU8J6ywMOp+RQ9PP58U4RLgULCPcbcB9le6kduhcWpThe1wmobblcwDhn0vA==" saltValue="N0NdLUXZQD09lAtzZnjBQg==" spinCount="100000" sheet="1"/>
  <mergeCells count="1">
    <mergeCell ref="B2:C2"/>
  </mergeCells>
  <pageMargins left="0.70866141732283472" right="0.70866141732283472" top="0.74803149606299213" bottom="0.74803149606299213" header="0.31496062992125984" footer="0.31496062992125984"/>
  <pageSetup scale="12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E53F-EB12-4BA7-A1F6-FA781FF4925D}">
  <sheetPr codeName="Sheet1"/>
  <dimension ref="A1:E28"/>
  <sheetViews>
    <sheetView showGridLines="0" zoomScaleNormal="100" workbookViewId="0"/>
  </sheetViews>
  <sheetFormatPr defaultColWidth="0" defaultRowHeight="14.5" zeroHeight="1" x14ac:dyDescent="0.35"/>
  <cols>
    <col min="1" max="1" width="8.7265625" customWidth="1"/>
    <col min="2" max="2" width="29.26953125" customWidth="1"/>
    <col min="3" max="4" width="12.453125" style="50" customWidth="1"/>
    <col min="5" max="5" width="8.7265625" customWidth="1"/>
    <col min="6" max="16384" width="8.7265625" hidden="1"/>
  </cols>
  <sheetData>
    <row r="1" spans="2:4" ht="15" thickBot="1" x14ac:dyDescent="0.4"/>
    <row r="2" spans="2:4" ht="21" customHeight="1" thickBot="1" x14ac:dyDescent="0.4">
      <c r="B2" s="107" t="s">
        <v>138</v>
      </c>
      <c r="C2" s="108"/>
      <c r="D2" s="109"/>
    </row>
    <row r="3" spans="2:4" x14ac:dyDescent="0.35">
      <c r="B3" s="24" t="s">
        <v>139</v>
      </c>
      <c r="C3" s="100"/>
      <c r="D3" s="51"/>
    </row>
    <row r="4" spans="2:4" x14ac:dyDescent="0.35">
      <c r="B4" s="40" t="s">
        <v>140</v>
      </c>
      <c r="C4" s="50" cm="1">
        <f t="array" ref="C4">SUM(_xlfn._xlws.FILTER(adjusted_trial_balance[Debit], (chart_of_accounts[Code]&gt;=1000) * ( chart_of_accounts[Code]&lt;1200)))-SUM(_xlfn._xlws.FILTER(adjusted_trial_balance[Credit], (chart_of_accounts[Code]&gt;=1000) * ( chart_of_accounts[Code]&lt;1200)))</f>
        <v>52766.666666666664</v>
      </c>
      <c r="D4" s="52"/>
    </row>
    <row r="5" spans="2:4" x14ac:dyDescent="0.35">
      <c r="B5" s="53"/>
      <c r="C5" s="89"/>
      <c r="D5" s="55">
        <f>SUM(C4)</f>
        <v>52766.666666666664</v>
      </c>
    </row>
    <row r="6" spans="2:4" x14ac:dyDescent="0.35">
      <c r="B6" s="40" t="s">
        <v>141</v>
      </c>
      <c r="D6" s="52"/>
    </row>
    <row r="7" spans="2:4" x14ac:dyDescent="0.35">
      <c r="B7" s="24" t="str" cm="1">
        <f t="array" ref="B7:B10">_xlfn._xlws.FILTER(chart_of_accounts[Account name], (chart_of_accounts[Code] &gt;= 1200) * (chart_of_accounts[Code] &lt; 2000))</f>
        <v>Inventory</v>
      </c>
      <c r="C7" s="50">
        <f>_xlfn.XLOOKUP(B7, adjusted_trial_balance[Account Name], adjusted_trial_balance[Debit])</f>
        <v>74500</v>
      </c>
      <c r="D7" s="52"/>
    </row>
    <row r="8" spans="2:4" x14ac:dyDescent="0.35">
      <c r="B8" s="24" t="str">
        <v>Trade Receivables</v>
      </c>
      <c r="C8" s="50">
        <f>_xlfn.XLOOKUP(B8, adjusted_trial_balance[Account Name], adjusted_trial_balance[Debit])</f>
        <v>223000</v>
      </c>
      <c r="D8" s="52"/>
    </row>
    <row r="9" spans="2:4" x14ac:dyDescent="0.35">
      <c r="B9" s="24" t="str">
        <v>Prepayments</v>
      </c>
      <c r="C9" s="50">
        <f>_xlfn.XLOOKUP(B9, adjusted_trial_balance[Account Name], adjusted_trial_balance[Debit])</f>
        <v>11000</v>
      </c>
      <c r="D9" s="52"/>
    </row>
    <row r="10" spans="2:4" x14ac:dyDescent="0.35">
      <c r="B10" s="24" t="str">
        <v>Bank</v>
      </c>
      <c r="C10" s="50">
        <f>_xlfn.XLOOKUP(B10, adjusted_trial_balance[Account Name], adjusted_trial_balance[Debit])</f>
        <v>746700</v>
      </c>
      <c r="D10" s="52"/>
    </row>
    <row r="11" spans="2:4" ht="15" thickBot="1" x14ac:dyDescent="0.4">
      <c r="B11" s="24"/>
      <c r="C11" s="89"/>
      <c r="D11" s="56">
        <f>SUM(C7:C10)</f>
        <v>1055200</v>
      </c>
    </row>
    <row r="12" spans="2:4" x14ac:dyDescent="0.35">
      <c r="B12" s="40" t="s">
        <v>142</v>
      </c>
      <c r="D12" s="58">
        <f>SUM(D5:D11)</f>
        <v>1107966.6666666667</v>
      </c>
    </row>
    <row r="13" spans="2:4" x14ac:dyDescent="0.35">
      <c r="B13" s="24" t="s">
        <v>143</v>
      </c>
      <c r="D13" s="52"/>
    </row>
    <row r="14" spans="2:4" x14ac:dyDescent="0.35">
      <c r="B14" s="40" t="s">
        <v>16</v>
      </c>
      <c r="D14" s="52"/>
    </row>
    <row r="15" spans="2:4" x14ac:dyDescent="0.35">
      <c r="B15" s="24" t="str" cm="1">
        <f t="array" ref="B15:B16">_xlfn._xlws.FILTER(chart_of_accounts[Account name], (chart_of_accounts[Code] &gt;= 2000) * (chart_of_accounts[Code] &lt; 3000))</f>
        <v>Ordinary Share Capital</v>
      </c>
      <c r="C15" s="50">
        <f>_xlfn.XLOOKUP(B15, adjusted_trial_balance[Account Name], adjusted_trial_balance[Credit])</f>
        <v>500000</v>
      </c>
      <c r="D15" s="52"/>
    </row>
    <row r="16" spans="2:4" x14ac:dyDescent="0.35">
      <c r="B16" s="24" t="str">
        <v>Retained Earnings</v>
      </c>
      <c r="C16" s="50">
        <f>_xlfn.XLOOKUP(B16, adjusted_trial_balance[Account Name], adjusted_trial_balance[Credit]) + SOPL!C24</f>
        <v>109266.66666666666</v>
      </c>
      <c r="D16" s="52"/>
    </row>
    <row r="17" spans="2:4" x14ac:dyDescent="0.35">
      <c r="B17" s="24"/>
      <c r="C17" s="89"/>
      <c r="D17" s="55">
        <f>SUM(C15:C16)</f>
        <v>609266.66666666663</v>
      </c>
    </row>
    <row r="18" spans="2:4" x14ac:dyDescent="0.35">
      <c r="B18" s="40" t="s">
        <v>148</v>
      </c>
      <c r="D18" s="52"/>
    </row>
    <row r="19" spans="2:4" x14ac:dyDescent="0.35">
      <c r="B19" s="24" t="str" cm="1">
        <f t="array" ref="B19">_xlfn._xlws.FILTER(chart_of_accounts[Account name], (chart_of_accounts[Code] &gt;= 3000) * (chart_of_accounts[Code] &lt; 3200))</f>
        <v>Bank Loan</v>
      </c>
      <c r="C19" s="50">
        <f>_xlfn.XLOOKUP(B19, adjusted_trial_balance[Account Name], adjusted_trial_balance[Credit])</f>
        <v>149000</v>
      </c>
      <c r="D19" s="52"/>
    </row>
    <row r="20" spans="2:4" x14ac:dyDescent="0.35">
      <c r="B20" s="24"/>
      <c r="C20" s="89"/>
      <c r="D20" s="55">
        <f>SUM(C19)</f>
        <v>149000</v>
      </c>
    </row>
    <row r="21" spans="2:4" x14ac:dyDescent="0.35">
      <c r="B21" s="40" t="s">
        <v>149</v>
      </c>
      <c r="D21" s="52"/>
    </row>
    <row r="22" spans="2:4" x14ac:dyDescent="0.35">
      <c r="B22" s="24" t="str" cm="1">
        <f t="array" ref="B22:B25">_xlfn._xlws.FILTER(chart_of_accounts[Account name], (chart_of_accounts[Code] &gt;= 3200) * (chart_of_accounts[Code] &lt; 4000))</f>
        <v>Trade Payables</v>
      </c>
      <c r="C22" s="50">
        <f>_xlfn.XLOOKUP(B22, adjusted_trial_balance[Account Name], adjusted_trial_balance[Credit])</f>
        <v>271000</v>
      </c>
      <c r="D22" s="52"/>
    </row>
    <row r="23" spans="2:4" x14ac:dyDescent="0.35">
      <c r="B23" s="24" t="str">
        <v>Accrued Expenses</v>
      </c>
      <c r="C23" s="50">
        <f>_xlfn.XLOOKUP(B23, adjusted_trial_balance[Account Name], adjusted_trial_balance[Credit])</f>
        <v>3700</v>
      </c>
      <c r="D23" s="52"/>
    </row>
    <row r="24" spans="2:4" x14ac:dyDescent="0.35">
      <c r="B24" s="24" t="str">
        <v>Prepaid Income</v>
      </c>
      <c r="C24" s="50">
        <f>_xlfn.XLOOKUP(B24, adjusted_trial_balance[Account Name], adjusted_trial_balance[Credit])</f>
        <v>30000</v>
      </c>
      <c r="D24" s="52"/>
    </row>
    <row r="25" spans="2:4" x14ac:dyDescent="0.35">
      <c r="B25" s="24" t="str">
        <v>Income Tax Payable</v>
      </c>
      <c r="C25" s="50">
        <f>_xlfn.XLOOKUP(B25, adjusted_trial_balance[Account Name], adjusted_trial_balance[Credit])</f>
        <v>45000</v>
      </c>
      <c r="D25" s="52"/>
    </row>
    <row r="26" spans="2:4" x14ac:dyDescent="0.35">
      <c r="B26" s="24"/>
      <c r="C26" s="89"/>
      <c r="D26" s="55">
        <f>SUM(C22:C25)</f>
        <v>349700</v>
      </c>
    </row>
    <row r="27" spans="2:4" ht="15" thickBot="1" x14ac:dyDescent="0.4">
      <c r="B27" s="42" t="s">
        <v>150</v>
      </c>
      <c r="C27" s="54"/>
      <c r="D27" s="59">
        <f>SUM(D17:D26)</f>
        <v>1107966.6666666665</v>
      </c>
    </row>
    <row r="28" spans="2:4" x14ac:dyDescent="0.35"/>
  </sheetData>
  <sheetProtection algorithmName="SHA-512" hashValue="Sv1QbohTbmJufiHryebdSHn/8BFUC0JgLgr8VHebHZVgg/WHAVFMEmmknACgAp01eIEDlvELR7KgLZYddbTAwA==" saltValue="EeJe/Jaj/0WQDeY9Voc9vw==" spinCount="100000" sheet="1"/>
  <mergeCells count="1">
    <mergeCell ref="B2:D2"/>
  </mergeCells>
  <pageMargins left="0.70866141732283472" right="0.70866141732283472" top="0.74803149606299213" bottom="0.74803149606299213" header="0.31496062992125984" footer="0.31496062992125984"/>
  <pageSetup paperSize="9" scale="125" fitToWidth="10" fitToHeight="1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7B04B-FDDA-4755-A8F5-D5739B0FDDAE}">
  <dimension ref="A1:BQ26"/>
  <sheetViews>
    <sheetView showGridLines="0" zoomScaleNormal="100" workbookViewId="0"/>
  </sheetViews>
  <sheetFormatPr defaultColWidth="0" defaultRowHeight="14.5" zeroHeight="1" x14ac:dyDescent="0.35"/>
  <cols>
    <col min="1" max="1" width="8.7265625" customWidth="1"/>
    <col min="2" max="2" width="43.6328125" bestFit="1" customWidth="1"/>
    <col min="3" max="4" width="13.26953125" style="50" customWidth="1"/>
    <col min="5" max="5" width="8.7265625" customWidth="1"/>
    <col min="6" max="67" width="8.7265625" hidden="1" customWidth="1"/>
    <col min="68" max="69" width="0" hidden="1" customWidth="1"/>
    <col min="70" max="16384" width="8.7265625" hidden="1"/>
  </cols>
  <sheetData>
    <row r="1" spans="2:4" ht="15" thickBot="1" x14ac:dyDescent="0.4"/>
    <row r="2" spans="2:4" ht="23" customHeight="1" thickBot="1" x14ac:dyDescent="0.4">
      <c r="B2" s="105" t="s">
        <v>182</v>
      </c>
      <c r="C2" s="110"/>
      <c r="D2" s="106"/>
    </row>
    <row r="3" spans="2:4" x14ac:dyDescent="0.35">
      <c r="B3" s="40" t="s">
        <v>187</v>
      </c>
      <c r="D3" s="52"/>
    </row>
    <row r="4" spans="2:4" x14ac:dyDescent="0.35">
      <c r="B4" s="24" t="s">
        <v>132</v>
      </c>
      <c r="C4" s="50">
        <f>SOPL!C18</f>
        <v>155266.66666666666</v>
      </c>
      <c r="D4" s="52"/>
    </row>
    <row r="5" spans="2:4" x14ac:dyDescent="0.35">
      <c r="B5" s="24" t="s">
        <v>40</v>
      </c>
      <c r="C5" s="50">
        <f>-SOPL!C16</f>
        <v>1233.3333333333335</v>
      </c>
      <c r="D5" s="52"/>
    </row>
    <row r="6" spans="2:4" x14ac:dyDescent="0.35">
      <c r="B6" s="40" t="s">
        <v>183</v>
      </c>
      <c r="C6" s="89">
        <f>SUM(C4:C5)</f>
        <v>156500</v>
      </c>
      <c r="D6" s="52"/>
    </row>
    <row r="7" spans="2:4" x14ac:dyDescent="0.35">
      <c r="B7" s="24" t="s">
        <v>186</v>
      </c>
      <c r="C7" s="50">
        <f>-SOFP!C7</f>
        <v>-74500</v>
      </c>
      <c r="D7" s="52"/>
    </row>
    <row r="8" spans="2:4" x14ac:dyDescent="0.35">
      <c r="B8" s="24" t="s">
        <v>185</v>
      </c>
      <c r="C8" s="50">
        <f xml:space="preserve"> -((SOFP!C8 - 0) + (SOFP!C9 - 0))</f>
        <v>-234000</v>
      </c>
      <c r="D8" s="52"/>
    </row>
    <row r="9" spans="2:4" x14ac:dyDescent="0.35">
      <c r="B9" s="24" t="s">
        <v>184</v>
      </c>
      <c r="C9" s="50">
        <f>(SOFP!C22 - 0) + (SOFP!C23 - 0) + (SOFP!C24 - 0)</f>
        <v>304700</v>
      </c>
      <c r="D9" s="52"/>
    </row>
    <row r="10" spans="2:4" ht="15" thickBot="1" x14ac:dyDescent="0.4">
      <c r="B10" s="40" t="s">
        <v>188</v>
      </c>
      <c r="C10" s="89">
        <f>SUM(C6:C9)</f>
        <v>152700</v>
      </c>
      <c r="D10" s="99"/>
    </row>
    <row r="11" spans="2:4" x14ac:dyDescent="0.35">
      <c r="B11" s="101" t="s">
        <v>189</v>
      </c>
      <c r="D11" s="52">
        <f>SUM(C10:C10)</f>
        <v>152700</v>
      </c>
    </row>
    <row r="12" spans="2:4" x14ac:dyDescent="0.35">
      <c r="B12" s="24"/>
      <c r="D12" s="52"/>
    </row>
    <row r="13" spans="2:4" x14ac:dyDescent="0.35">
      <c r="B13" s="40" t="s">
        <v>190</v>
      </c>
      <c r="D13" s="52"/>
    </row>
    <row r="14" spans="2:4" x14ac:dyDescent="0.35">
      <c r="B14" s="24" t="s">
        <v>193</v>
      </c>
      <c r="C14" s="50">
        <f>-'adjusted_trial balance'!C4</f>
        <v>-24000</v>
      </c>
      <c r="D14" s="52"/>
    </row>
    <row r="15" spans="2:4" ht="15" thickBot="1" x14ac:dyDescent="0.4">
      <c r="B15" s="24" t="s">
        <v>194</v>
      </c>
      <c r="C15" s="50">
        <f>-'adjusted_trial balance'!C5</f>
        <v>-30000</v>
      </c>
      <c r="D15" s="99"/>
    </row>
    <row r="16" spans="2:4" x14ac:dyDescent="0.35">
      <c r="B16" s="101" t="s">
        <v>197</v>
      </c>
      <c r="D16" s="52">
        <f>SUM(C14:C15)</f>
        <v>-54000</v>
      </c>
    </row>
    <row r="17" spans="2:4" x14ac:dyDescent="0.35">
      <c r="B17" s="24"/>
      <c r="D17" s="52"/>
    </row>
    <row r="18" spans="2:4" x14ac:dyDescent="0.35">
      <c r="B18" s="40" t="s">
        <v>191</v>
      </c>
      <c r="D18" s="52"/>
    </row>
    <row r="19" spans="2:4" x14ac:dyDescent="0.35">
      <c r="B19" s="24" t="s">
        <v>192</v>
      </c>
      <c r="C19" s="50">
        <f>SOFP!C15</f>
        <v>500000</v>
      </c>
      <c r="D19" s="52"/>
    </row>
    <row r="20" spans="2:4" ht="15" thickBot="1" x14ac:dyDescent="0.4">
      <c r="B20" s="24" t="s">
        <v>196</v>
      </c>
      <c r="C20" s="50">
        <v>148000</v>
      </c>
      <c r="D20" s="99"/>
    </row>
    <row r="21" spans="2:4" ht="15" thickBot="1" x14ac:dyDescent="0.4">
      <c r="B21" s="101" t="s">
        <v>198</v>
      </c>
      <c r="D21" s="102">
        <f>SUM(C19:C20)</f>
        <v>648000</v>
      </c>
    </row>
    <row r="22" spans="2:4" ht="15" thickTop="1" x14ac:dyDescent="0.35">
      <c r="B22" s="101"/>
      <c r="D22" s="52"/>
    </row>
    <row r="23" spans="2:4" x14ac:dyDescent="0.35">
      <c r="B23" s="24" t="s">
        <v>199</v>
      </c>
      <c r="D23" s="52">
        <f>SUM(D11:D22)</f>
        <v>746700</v>
      </c>
    </row>
    <row r="24" spans="2:4" ht="15" thickBot="1" x14ac:dyDescent="0.4">
      <c r="B24" s="24" t="s">
        <v>200</v>
      </c>
      <c r="D24" s="99">
        <v>0</v>
      </c>
    </row>
    <row r="25" spans="2:4" ht="15" thickBot="1" x14ac:dyDescent="0.4">
      <c r="B25" s="42" t="s">
        <v>201</v>
      </c>
      <c r="C25" s="54"/>
      <c r="D25" s="59">
        <f>SUM(D23:D24)</f>
        <v>746700</v>
      </c>
    </row>
    <row r="26" spans="2:4" x14ac:dyDescent="0.35"/>
  </sheetData>
  <sheetProtection algorithmName="SHA-512" hashValue="JZ8pZZXgfPFikBNLsLL2B3qbJ4iBcRv1UrzDkBfIDyaHX1bQOV+M6YrPvy8oILqnTdYj2E/MEOUzMHE3BsAVcQ==" saltValue="u3t7J74rEANXcmKIvgpxLQ==" spinCount="100000" sheet="1" objects="1" scenarios="1"/>
  <mergeCells count="1">
    <mergeCell ref="B2:D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047A8-71DA-400E-A094-96CE45E9B8AE}">
  <sheetPr codeName="Sheet2"/>
  <dimension ref="A1:F33"/>
  <sheetViews>
    <sheetView showGridLines="0" zoomScaleNormal="100" workbookViewId="0"/>
  </sheetViews>
  <sheetFormatPr defaultColWidth="0" defaultRowHeight="14.5" zeroHeight="1" x14ac:dyDescent="0.35"/>
  <cols>
    <col min="1" max="1" width="8.7265625" customWidth="1"/>
    <col min="2" max="2" width="9.81640625" style="33" bestFit="1" customWidth="1"/>
    <col min="3" max="3" width="32.7265625" customWidth="1"/>
    <col min="4" max="4" width="18.08984375" customWidth="1"/>
    <col min="5" max="5" width="45" customWidth="1"/>
    <col min="6" max="6" width="8.7265625" customWidth="1"/>
    <col min="7" max="16384" width="8.7265625" hidden="1"/>
  </cols>
  <sheetData>
    <row r="1" spans="2:5" ht="15" thickBot="1" x14ac:dyDescent="0.4"/>
    <row r="2" spans="2:5" ht="15" thickBot="1" x14ac:dyDescent="0.4">
      <c r="B2" s="111" t="s">
        <v>0</v>
      </c>
      <c r="C2" s="112"/>
      <c r="D2" s="112"/>
      <c r="E2" s="113"/>
    </row>
    <row r="3" spans="2:5" x14ac:dyDescent="0.35">
      <c r="B3" s="34" t="s">
        <v>1</v>
      </c>
      <c r="C3" s="1" t="s">
        <v>2</v>
      </c>
      <c r="D3" s="2" t="s">
        <v>130</v>
      </c>
      <c r="E3" s="1" t="s">
        <v>131</v>
      </c>
    </row>
    <row r="4" spans="2:5" x14ac:dyDescent="0.35">
      <c r="B4" s="35">
        <v>1110</v>
      </c>
      <c r="C4" s="3" t="s">
        <v>3</v>
      </c>
      <c r="D4" s="4" t="s">
        <v>5</v>
      </c>
      <c r="E4" s="3" t="s">
        <v>4</v>
      </c>
    </row>
    <row r="5" spans="2:5" x14ac:dyDescent="0.35">
      <c r="B5" s="35">
        <v>1120</v>
      </c>
      <c r="C5" s="3" t="s">
        <v>6</v>
      </c>
      <c r="D5" s="4" t="s">
        <v>5</v>
      </c>
      <c r="E5" s="3" t="s">
        <v>4</v>
      </c>
    </row>
    <row r="6" spans="2:5" x14ac:dyDescent="0.35">
      <c r="B6" s="35">
        <v>1190</v>
      </c>
      <c r="C6" s="3" t="s">
        <v>7</v>
      </c>
      <c r="D6" s="4" t="s">
        <v>5</v>
      </c>
      <c r="E6" s="3" t="s">
        <v>8</v>
      </c>
    </row>
    <row r="7" spans="2:5" x14ac:dyDescent="0.35">
      <c r="B7" s="35">
        <v>1310</v>
      </c>
      <c r="C7" s="3" t="s">
        <v>9</v>
      </c>
      <c r="D7" s="4" t="s">
        <v>5</v>
      </c>
      <c r="E7" s="3" t="s">
        <v>10</v>
      </c>
    </row>
    <row r="8" spans="2:5" x14ac:dyDescent="0.35">
      <c r="B8" s="35">
        <v>1320</v>
      </c>
      <c r="C8" s="3" t="s">
        <v>11</v>
      </c>
      <c r="D8" s="4" t="s">
        <v>5</v>
      </c>
      <c r="E8" s="3" t="s">
        <v>10</v>
      </c>
    </row>
    <row r="9" spans="2:5" x14ac:dyDescent="0.35">
      <c r="B9" s="35">
        <v>1340</v>
      </c>
      <c r="C9" s="3" t="s">
        <v>12</v>
      </c>
      <c r="D9" s="4" t="s">
        <v>5</v>
      </c>
      <c r="E9" s="3" t="s">
        <v>10</v>
      </c>
    </row>
    <row r="10" spans="2:5" x14ac:dyDescent="0.35">
      <c r="B10" s="35">
        <v>1350</v>
      </c>
      <c r="C10" s="3" t="s">
        <v>13</v>
      </c>
      <c r="D10" s="4" t="s">
        <v>5</v>
      </c>
      <c r="E10" s="3" t="s">
        <v>14</v>
      </c>
    </row>
    <row r="11" spans="2:5" x14ac:dyDescent="0.35">
      <c r="B11" s="35">
        <v>2100</v>
      </c>
      <c r="C11" s="3" t="s">
        <v>15</v>
      </c>
      <c r="D11" s="4" t="s">
        <v>5</v>
      </c>
      <c r="E11" s="3" t="s">
        <v>16</v>
      </c>
    </row>
    <row r="12" spans="2:5" x14ac:dyDescent="0.35">
      <c r="B12" s="35">
        <v>2200</v>
      </c>
      <c r="C12" s="3" t="s">
        <v>17</v>
      </c>
      <c r="D12" s="4" t="s">
        <v>5</v>
      </c>
      <c r="E12" s="3" t="s">
        <v>16</v>
      </c>
    </row>
    <row r="13" spans="2:5" x14ac:dyDescent="0.35">
      <c r="B13" s="35">
        <v>3100</v>
      </c>
      <c r="C13" s="3" t="s">
        <v>18</v>
      </c>
      <c r="D13" s="4" t="s">
        <v>5</v>
      </c>
      <c r="E13" s="3" t="s">
        <v>19</v>
      </c>
    </row>
    <row r="14" spans="2:5" x14ac:dyDescent="0.35">
      <c r="B14" s="35">
        <v>3310</v>
      </c>
      <c r="C14" s="3" t="s">
        <v>20</v>
      </c>
      <c r="D14" s="4" t="s">
        <v>5</v>
      </c>
      <c r="E14" s="3" t="s">
        <v>21</v>
      </c>
    </row>
    <row r="15" spans="2:5" x14ac:dyDescent="0.35">
      <c r="B15" s="35">
        <v>3320</v>
      </c>
      <c r="C15" s="3" t="s">
        <v>22</v>
      </c>
      <c r="D15" s="4" t="s">
        <v>5</v>
      </c>
      <c r="E15" s="3" t="s">
        <v>21</v>
      </c>
    </row>
    <row r="16" spans="2:5" x14ac:dyDescent="0.35">
      <c r="B16" s="35">
        <v>3340</v>
      </c>
      <c r="C16" s="3" t="s">
        <v>23</v>
      </c>
      <c r="D16" s="4" t="s">
        <v>5</v>
      </c>
      <c r="E16" s="3" t="s">
        <v>21</v>
      </c>
    </row>
    <row r="17" spans="2:5" x14ac:dyDescent="0.35">
      <c r="B17" s="35">
        <v>3400</v>
      </c>
      <c r="C17" s="3" t="s">
        <v>195</v>
      </c>
      <c r="D17" s="4" t="s">
        <v>5</v>
      </c>
      <c r="E17" s="3" t="s">
        <v>21</v>
      </c>
    </row>
    <row r="18" spans="2:5" x14ac:dyDescent="0.35">
      <c r="B18" s="35">
        <v>4100</v>
      </c>
      <c r="C18" s="3" t="s">
        <v>24</v>
      </c>
      <c r="D18" s="4" t="s">
        <v>26</v>
      </c>
      <c r="E18" s="3" t="s">
        <v>25</v>
      </c>
    </row>
    <row r="19" spans="2:5" x14ac:dyDescent="0.35">
      <c r="B19" s="35">
        <v>4300</v>
      </c>
      <c r="C19" s="3" t="s">
        <v>27</v>
      </c>
      <c r="D19" s="4" t="s">
        <v>26</v>
      </c>
      <c r="E19" s="3" t="s">
        <v>28</v>
      </c>
    </row>
    <row r="20" spans="2:5" x14ac:dyDescent="0.35">
      <c r="B20" s="35">
        <v>5100</v>
      </c>
      <c r="C20" s="3" t="s">
        <v>29</v>
      </c>
      <c r="D20" s="4" t="s">
        <v>26</v>
      </c>
      <c r="E20" s="3" t="s">
        <v>30</v>
      </c>
    </row>
    <row r="21" spans="2:5" x14ac:dyDescent="0.35">
      <c r="B21" s="35">
        <v>5200</v>
      </c>
      <c r="C21" s="3" t="s">
        <v>31</v>
      </c>
      <c r="D21" s="4" t="s">
        <v>26</v>
      </c>
      <c r="E21" s="3" t="s">
        <v>30</v>
      </c>
    </row>
    <row r="22" spans="2:5" x14ac:dyDescent="0.35">
      <c r="B22" s="35">
        <v>6100</v>
      </c>
      <c r="C22" s="3" t="s">
        <v>32</v>
      </c>
      <c r="D22" s="4" t="s">
        <v>26</v>
      </c>
      <c r="E22" s="3" t="s">
        <v>33</v>
      </c>
    </row>
    <row r="23" spans="2:5" x14ac:dyDescent="0.35">
      <c r="B23" s="35">
        <v>6200</v>
      </c>
      <c r="C23" s="3" t="s">
        <v>34</v>
      </c>
      <c r="D23" s="4" t="s">
        <v>26</v>
      </c>
      <c r="E23" s="3" t="s">
        <v>33</v>
      </c>
    </row>
    <row r="24" spans="2:5" x14ac:dyDescent="0.35">
      <c r="B24" s="35">
        <v>6300</v>
      </c>
      <c r="C24" s="3" t="s">
        <v>35</v>
      </c>
      <c r="D24" s="4" t="s">
        <v>26</v>
      </c>
      <c r="E24" s="3" t="s">
        <v>33</v>
      </c>
    </row>
    <row r="25" spans="2:5" x14ac:dyDescent="0.35">
      <c r="B25" s="35">
        <v>6400</v>
      </c>
      <c r="C25" s="3" t="s">
        <v>36</v>
      </c>
      <c r="D25" s="4" t="s">
        <v>26</v>
      </c>
      <c r="E25" s="3" t="s">
        <v>33</v>
      </c>
    </row>
    <row r="26" spans="2:5" x14ac:dyDescent="0.35">
      <c r="B26" s="35">
        <v>6500</v>
      </c>
      <c r="C26" s="3" t="s">
        <v>37</v>
      </c>
      <c r="D26" s="4" t="s">
        <v>26</v>
      </c>
      <c r="E26" s="3" t="s">
        <v>33</v>
      </c>
    </row>
    <row r="27" spans="2:5" x14ac:dyDescent="0.35">
      <c r="B27" s="35">
        <v>6600</v>
      </c>
      <c r="C27" s="3" t="s">
        <v>38</v>
      </c>
      <c r="D27" s="4" t="s">
        <v>26</v>
      </c>
      <c r="E27" s="3" t="s">
        <v>33</v>
      </c>
    </row>
    <row r="28" spans="2:5" x14ac:dyDescent="0.35">
      <c r="B28" s="35">
        <v>6700</v>
      </c>
      <c r="C28" s="3" t="s">
        <v>39</v>
      </c>
      <c r="D28" s="4" t="s">
        <v>26</v>
      </c>
      <c r="E28" s="3" t="s">
        <v>33</v>
      </c>
    </row>
    <row r="29" spans="2:5" x14ac:dyDescent="0.35">
      <c r="B29" s="35">
        <v>6800</v>
      </c>
      <c r="C29" s="3" t="s">
        <v>40</v>
      </c>
      <c r="D29" s="4" t="s">
        <v>26</v>
      </c>
      <c r="E29" s="3" t="s">
        <v>33</v>
      </c>
    </row>
    <row r="30" spans="2:5" x14ac:dyDescent="0.35">
      <c r="B30" s="35">
        <v>6900</v>
      </c>
      <c r="C30" s="3" t="s">
        <v>43</v>
      </c>
      <c r="D30" s="4" t="s">
        <v>26</v>
      </c>
      <c r="E30" s="3" t="s">
        <v>33</v>
      </c>
    </row>
    <row r="31" spans="2:5" x14ac:dyDescent="0.35">
      <c r="B31" s="36">
        <v>7100</v>
      </c>
      <c r="C31" s="5" t="s">
        <v>41</v>
      </c>
      <c r="D31" s="6" t="s">
        <v>26</v>
      </c>
      <c r="E31" s="5" t="s">
        <v>42</v>
      </c>
    </row>
    <row r="32" spans="2:5" x14ac:dyDescent="0.35">
      <c r="B32" s="43">
        <v>8100</v>
      </c>
      <c r="C32" s="8" t="s">
        <v>136</v>
      </c>
      <c r="D32" s="6" t="s">
        <v>26</v>
      </c>
      <c r="E32" s="8" t="s">
        <v>146</v>
      </c>
    </row>
    <row r="33" x14ac:dyDescent="0.35"/>
  </sheetData>
  <sheetProtection algorithmName="SHA-512" hashValue="AmsOeozoCQqcHIx8U5pHxtJGm3QzSdUkKy75BeaJ+tgt1QHVPRfyOzUVeIQ8HL5rcnmKABNl9o5Hs52lNgJL5A==" saltValue="W/knkVXyIijvuvomTMx4hw==" spinCount="100000" sheet="1" objects="1" scenarios="1"/>
  <mergeCells count="1">
    <mergeCell ref="B2:E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5BA58-ADD2-4234-AB43-99A5F271777E}">
  <sheetPr codeName="Sheet3"/>
  <dimension ref="A1:XFC95"/>
  <sheetViews>
    <sheetView showGridLines="0" workbookViewId="0"/>
  </sheetViews>
  <sheetFormatPr defaultColWidth="0" defaultRowHeight="14.5" zeroHeight="1" x14ac:dyDescent="0.35"/>
  <cols>
    <col min="1" max="1" width="8.7265625" customWidth="1"/>
    <col min="2" max="2" width="12.81640625" style="10" customWidth="1"/>
    <col min="3" max="3" width="12.81640625" style="11" customWidth="1"/>
    <col min="4" max="4" width="12.81640625" customWidth="1"/>
    <col min="5" max="5" width="27.453125" bestFit="1" customWidth="1"/>
    <col min="6" max="6" width="51.54296875" bestFit="1" customWidth="1"/>
    <col min="7" max="7" width="13.6328125" style="22" customWidth="1"/>
    <col min="8" max="8" width="11.54296875" style="22" bestFit="1" customWidth="1"/>
    <col min="9" max="9" width="11.6328125" customWidth="1"/>
    <col min="10" max="16382" width="8.7265625" hidden="1"/>
    <col min="16383" max="16383" width="7.1796875" hidden="1"/>
    <col min="16384" max="16384" width="24.08984375" hidden="1"/>
  </cols>
  <sheetData>
    <row r="1" spans="2:8" ht="15" thickBot="1" x14ac:dyDescent="0.4">
      <c r="G1" s="17"/>
      <c r="H1" s="17"/>
    </row>
    <row r="2" spans="2:8" ht="15" thickBot="1" x14ac:dyDescent="0.4">
      <c r="B2" s="114" t="s">
        <v>44</v>
      </c>
      <c r="C2" s="115"/>
      <c r="D2" s="115"/>
      <c r="E2" s="115"/>
      <c r="F2" s="115"/>
      <c r="G2" s="115"/>
      <c r="H2" s="116"/>
    </row>
    <row r="3" spans="2:8" s="16" customFormat="1" x14ac:dyDescent="0.35">
      <c r="B3" s="31" t="s">
        <v>45</v>
      </c>
      <c r="C3" s="32" t="s">
        <v>46</v>
      </c>
      <c r="D3" s="32" t="s">
        <v>1</v>
      </c>
      <c r="E3" s="32" t="s">
        <v>47</v>
      </c>
      <c r="F3" s="32" t="s">
        <v>48</v>
      </c>
      <c r="G3" s="29" t="s">
        <v>49</v>
      </c>
      <c r="H3" s="30" t="s">
        <v>50</v>
      </c>
    </row>
    <row r="4" spans="2:8" x14ac:dyDescent="0.35">
      <c r="B4" s="9">
        <v>46023</v>
      </c>
      <c r="C4" s="13" t="s">
        <v>52</v>
      </c>
      <c r="D4" s="7">
        <f>_xlfn.XLOOKUP(general_journal!$E4, chart_of_accounts[Account name], chart_of_accounts[Code])</f>
        <v>1350</v>
      </c>
      <c r="E4" s="7" t="s">
        <v>13</v>
      </c>
      <c r="F4" s="7" t="s">
        <v>170</v>
      </c>
      <c r="G4" s="18">
        <v>500000</v>
      </c>
      <c r="H4" s="19"/>
    </row>
    <row r="5" spans="2:8" x14ac:dyDescent="0.35">
      <c r="B5" s="9">
        <v>46023</v>
      </c>
      <c r="C5" s="13" t="s">
        <v>52</v>
      </c>
      <c r="D5" s="7">
        <f>_xlfn.XLOOKUP(general_journal!$E5, chart_of_accounts[Account name], chart_of_accounts[Code])</f>
        <v>2100</v>
      </c>
      <c r="E5" s="7" t="s">
        <v>15</v>
      </c>
      <c r="F5" s="7" t="s">
        <v>170</v>
      </c>
      <c r="G5" s="18"/>
      <c r="H5" s="19">
        <v>500000</v>
      </c>
    </row>
    <row r="6" spans="2:8" x14ac:dyDescent="0.35">
      <c r="B6" s="9">
        <v>46024</v>
      </c>
      <c r="C6" s="13" t="s">
        <v>53</v>
      </c>
      <c r="D6" s="7">
        <f>_xlfn.XLOOKUP(general_journal!$E6, chart_of_accounts[Account name], chart_of_accounts[Code])</f>
        <v>6700</v>
      </c>
      <c r="E6" s="7" t="s">
        <v>39</v>
      </c>
      <c r="F6" s="7" t="s">
        <v>54</v>
      </c>
      <c r="G6" s="18">
        <v>12000</v>
      </c>
      <c r="H6" s="19"/>
    </row>
    <row r="7" spans="2:8" x14ac:dyDescent="0.35">
      <c r="B7" s="9">
        <v>46024</v>
      </c>
      <c r="C7" s="13" t="s">
        <v>53</v>
      </c>
      <c r="D7" s="7">
        <f>_xlfn.XLOOKUP(general_journal!$E7, chart_of_accounts[Account name], chart_of_accounts[Code])</f>
        <v>1350</v>
      </c>
      <c r="E7" s="7" t="s">
        <v>13</v>
      </c>
      <c r="F7" s="7" t="s">
        <v>54</v>
      </c>
      <c r="G7" s="18"/>
      <c r="H7" s="19">
        <v>12000</v>
      </c>
    </row>
    <row r="8" spans="2:8" x14ac:dyDescent="0.35">
      <c r="B8" s="9">
        <v>46025</v>
      </c>
      <c r="C8" s="13" t="s">
        <v>55</v>
      </c>
      <c r="D8" s="7">
        <f>_xlfn.XLOOKUP(general_journal!$E8, chart_of_accounts[Account name], chart_of_accounts[Code])</f>
        <v>1110</v>
      </c>
      <c r="E8" s="7" t="s">
        <v>3</v>
      </c>
      <c r="F8" s="7" t="s">
        <v>151</v>
      </c>
      <c r="G8" s="18">
        <v>24000</v>
      </c>
      <c r="H8" s="19"/>
    </row>
    <row r="9" spans="2:8" x14ac:dyDescent="0.35">
      <c r="B9" s="9">
        <v>46025</v>
      </c>
      <c r="C9" s="13" t="s">
        <v>55</v>
      </c>
      <c r="D9" s="7">
        <f>_xlfn.XLOOKUP(general_journal!$E9, chart_of_accounts[Account name], chart_of_accounts[Code])</f>
        <v>1350</v>
      </c>
      <c r="E9" s="7" t="s">
        <v>13</v>
      </c>
      <c r="F9" s="7" t="s">
        <v>151</v>
      </c>
      <c r="G9" s="18"/>
      <c r="H9" s="19">
        <v>24000</v>
      </c>
    </row>
    <row r="10" spans="2:8" x14ac:dyDescent="0.35">
      <c r="B10" s="9">
        <v>46026</v>
      </c>
      <c r="C10" s="13" t="s">
        <v>56</v>
      </c>
      <c r="D10" s="7">
        <f>_xlfn.XLOOKUP(general_journal!$E10, chart_of_accounts[Account name], chart_of_accounts[Code])</f>
        <v>1120</v>
      </c>
      <c r="E10" s="7" t="s">
        <v>6</v>
      </c>
      <c r="F10" s="7" t="s">
        <v>152</v>
      </c>
      <c r="G10" s="18">
        <v>30000</v>
      </c>
      <c r="H10" s="19"/>
    </row>
    <row r="11" spans="2:8" x14ac:dyDescent="0.35">
      <c r="B11" s="9">
        <v>46026</v>
      </c>
      <c r="C11" s="13" t="s">
        <v>56</v>
      </c>
      <c r="D11" s="7">
        <f>_xlfn.XLOOKUP(general_journal!$E11, chart_of_accounts[Account name], chart_of_accounts[Code])</f>
        <v>1350</v>
      </c>
      <c r="E11" s="7" t="s">
        <v>13</v>
      </c>
      <c r="F11" s="7" t="s">
        <v>152</v>
      </c>
      <c r="G11" s="18"/>
      <c r="H11" s="19">
        <v>30000</v>
      </c>
    </row>
    <row r="12" spans="2:8" x14ac:dyDescent="0.35">
      <c r="B12" s="9">
        <v>46027</v>
      </c>
      <c r="C12" s="13" t="s">
        <v>57</v>
      </c>
      <c r="D12" s="7">
        <f>_xlfn.XLOOKUP(general_journal!$E12, chart_of_accounts[Account name], chart_of_accounts[Code])</f>
        <v>6200</v>
      </c>
      <c r="E12" s="7" t="s">
        <v>34</v>
      </c>
      <c r="F12" s="7" t="s">
        <v>58</v>
      </c>
      <c r="G12" s="18">
        <v>8000</v>
      </c>
      <c r="H12" s="19"/>
    </row>
    <row r="13" spans="2:8" x14ac:dyDescent="0.35">
      <c r="B13" s="9">
        <v>46027</v>
      </c>
      <c r="C13" s="13" t="s">
        <v>57</v>
      </c>
      <c r="D13" s="7">
        <f>_xlfn.XLOOKUP(general_journal!$E13, chart_of_accounts[Account name], chart_of_accounts[Code])</f>
        <v>1350</v>
      </c>
      <c r="E13" s="7" t="s">
        <v>13</v>
      </c>
      <c r="F13" s="7" t="s">
        <v>58</v>
      </c>
      <c r="G13" s="18"/>
      <c r="H13" s="19">
        <v>8000</v>
      </c>
    </row>
    <row r="14" spans="2:8" x14ac:dyDescent="0.35">
      <c r="B14" s="9">
        <v>46028</v>
      </c>
      <c r="C14" s="13" t="s">
        <v>59</v>
      </c>
      <c r="D14" s="7">
        <f>_xlfn.XLOOKUP(general_journal!$E14, chart_of_accounts[Account name], chart_of_accounts[Code])</f>
        <v>1340</v>
      </c>
      <c r="E14" s="7" t="s">
        <v>12</v>
      </c>
      <c r="F14" s="7" t="s">
        <v>60</v>
      </c>
      <c r="G14" s="18">
        <v>12000</v>
      </c>
      <c r="H14" s="19"/>
    </row>
    <row r="15" spans="2:8" x14ac:dyDescent="0.35">
      <c r="B15" s="9">
        <v>46028</v>
      </c>
      <c r="C15" s="13" t="s">
        <v>59</v>
      </c>
      <c r="D15" s="7">
        <f>_xlfn.XLOOKUP(general_journal!$E15, chart_of_accounts[Account name], chart_of_accounts[Code])</f>
        <v>1350</v>
      </c>
      <c r="E15" s="7" t="s">
        <v>13</v>
      </c>
      <c r="F15" s="7" t="s">
        <v>60</v>
      </c>
      <c r="G15" s="18"/>
      <c r="H15" s="19">
        <v>12000</v>
      </c>
    </row>
    <row r="16" spans="2:8" x14ac:dyDescent="0.35">
      <c r="B16" s="9">
        <v>46029</v>
      </c>
      <c r="C16" s="13" t="s">
        <v>61</v>
      </c>
      <c r="D16" s="7">
        <f>_xlfn.XLOOKUP(general_journal!$E16, chart_of_accounts[Account name], chart_of_accounts[Code])</f>
        <v>6600</v>
      </c>
      <c r="E16" s="7" t="s">
        <v>38</v>
      </c>
      <c r="F16" s="7" t="s">
        <v>62</v>
      </c>
      <c r="G16" s="18">
        <v>1800</v>
      </c>
      <c r="H16" s="19"/>
    </row>
    <row r="17" spans="2:8" x14ac:dyDescent="0.35">
      <c r="B17" s="9">
        <v>46029</v>
      </c>
      <c r="C17" s="13" t="s">
        <v>61</v>
      </c>
      <c r="D17" s="7">
        <f>_xlfn.XLOOKUP(general_journal!$E17, chart_of_accounts[Account name], chart_of_accounts[Code])</f>
        <v>1350</v>
      </c>
      <c r="E17" s="7" t="s">
        <v>13</v>
      </c>
      <c r="F17" s="7" t="s">
        <v>62</v>
      </c>
      <c r="G17" s="18"/>
      <c r="H17" s="19">
        <v>1800</v>
      </c>
    </row>
    <row r="18" spans="2:8" x14ac:dyDescent="0.35">
      <c r="B18" s="9">
        <v>46030</v>
      </c>
      <c r="C18" s="13" t="s">
        <v>63</v>
      </c>
      <c r="D18" s="7">
        <f>_xlfn.XLOOKUP(general_journal!$E18, chart_of_accounts[Account name], chart_of_accounts[Code])</f>
        <v>1310</v>
      </c>
      <c r="E18" s="7" t="s">
        <v>9</v>
      </c>
      <c r="F18" s="7" t="s">
        <v>64</v>
      </c>
      <c r="G18" s="18">
        <v>75000</v>
      </c>
      <c r="H18" s="19"/>
    </row>
    <row r="19" spans="2:8" x14ac:dyDescent="0.35">
      <c r="B19" s="9">
        <v>46030</v>
      </c>
      <c r="C19" s="13" t="s">
        <v>63</v>
      </c>
      <c r="D19" s="7">
        <f>_xlfn.XLOOKUP(general_journal!$E19, chart_of_accounts[Account name], chart_of_accounts[Code])</f>
        <v>3310</v>
      </c>
      <c r="E19" s="7" t="s">
        <v>20</v>
      </c>
      <c r="F19" s="7" t="s">
        <v>64</v>
      </c>
      <c r="G19" s="18"/>
      <c r="H19" s="19">
        <v>75000</v>
      </c>
    </row>
    <row r="20" spans="2:8" x14ac:dyDescent="0.35">
      <c r="B20" s="9">
        <v>46031</v>
      </c>
      <c r="C20" s="13" t="s">
        <v>65</v>
      </c>
      <c r="D20" s="7">
        <f>_xlfn.XLOOKUP(general_journal!$E20, chart_of_accounts[Account name], chart_of_accounts[Code])</f>
        <v>1310</v>
      </c>
      <c r="E20" s="7" t="s">
        <v>9</v>
      </c>
      <c r="F20" s="7" t="s">
        <v>66</v>
      </c>
      <c r="G20" s="18">
        <v>3000</v>
      </c>
      <c r="H20" s="19"/>
    </row>
    <row r="21" spans="2:8" x14ac:dyDescent="0.35">
      <c r="B21" s="9">
        <v>46031</v>
      </c>
      <c r="C21" s="13" t="s">
        <v>65</v>
      </c>
      <c r="D21" s="7">
        <f>_xlfn.XLOOKUP(general_journal!$E21, chart_of_accounts[Account name], chart_of_accounts[Code])</f>
        <v>1350</v>
      </c>
      <c r="E21" s="7" t="s">
        <v>13</v>
      </c>
      <c r="F21" s="7" t="s">
        <v>66</v>
      </c>
      <c r="G21" s="18"/>
      <c r="H21" s="19">
        <v>3000</v>
      </c>
    </row>
    <row r="22" spans="2:8" x14ac:dyDescent="0.35">
      <c r="B22" s="9">
        <v>46032</v>
      </c>
      <c r="C22" s="13" t="s">
        <v>67</v>
      </c>
      <c r="D22" s="7">
        <f>_xlfn.XLOOKUP(general_journal!$E22, chart_of_accounts[Account name], chart_of_accounts[Code])</f>
        <v>1310</v>
      </c>
      <c r="E22" s="7" t="s">
        <v>9</v>
      </c>
      <c r="F22" s="7" t="s">
        <v>68</v>
      </c>
      <c r="G22" s="18">
        <v>60000</v>
      </c>
      <c r="H22" s="19"/>
    </row>
    <row r="23" spans="2:8" x14ac:dyDescent="0.35">
      <c r="B23" s="9">
        <v>46032</v>
      </c>
      <c r="C23" s="13" t="s">
        <v>67</v>
      </c>
      <c r="D23" s="7">
        <f>_xlfn.XLOOKUP(general_journal!$E23, chart_of_accounts[Account name], chart_of_accounts[Code])</f>
        <v>1350</v>
      </c>
      <c r="E23" s="7" t="s">
        <v>13</v>
      </c>
      <c r="F23" s="7" t="s">
        <v>68</v>
      </c>
      <c r="G23" s="18"/>
      <c r="H23" s="19">
        <v>60000</v>
      </c>
    </row>
    <row r="24" spans="2:8" x14ac:dyDescent="0.35">
      <c r="B24" s="9">
        <v>46033</v>
      </c>
      <c r="C24" s="13" t="s">
        <v>69</v>
      </c>
      <c r="D24" s="7">
        <f>_xlfn.XLOOKUP(general_journal!$E24, chart_of_accounts[Account name], chart_of_accounts[Code])</f>
        <v>1320</v>
      </c>
      <c r="E24" s="7" t="s">
        <v>11</v>
      </c>
      <c r="F24" s="7" t="s">
        <v>70</v>
      </c>
      <c r="G24" s="18">
        <v>110000</v>
      </c>
      <c r="H24" s="19"/>
    </row>
    <row r="25" spans="2:8" x14ac:dyDescent="0.35">
      <c r="B25" s="9">
        <v>46033</v>
      </c>
      <c r="C25" s="13" t="s">
        <v>69</v>
      </c>
      <c r="D25" s="7">
        <f>_xlfn.XLOOKUP(general_journal!$E25, chart_of_accounts[Account name], chart_of_accounts[Code])</f>
        <v>4100</v>
      </c>
      <c r="E25" s="7" t="s">
        <v>24</v>
      </c>
      <c r="F25" s="7" t="s">
        <v>70</v>
      </c>
      <c r="G25" s="18"/>
      <c r="H25" s="19">
        <v>110000</v>
      </c>
    </row>
    <row r="26" spans="2:8" x14ac:dyDescent="0.35">
      <c r="B26" s="9">
        <v>46033</v>
      </c>
      <c r="C26" s="13" t="s">
        <v>71</v>
      </c>
      <c r="D26" s="7">
        <f>_xlfn.XLOOKUP(general_journal!$E26, chart_of_accounts[Account name], chart_of_accounts[Code])</f>
        <v>5100</v>
      </c>
      <c r="E26" s="7" t="s">
        <v>29</v>
      </c>
      <c r="F26" s="7" t="s">
        <v>72</v>
      </c>
      <c r="G26" s="18">
        <v>63000</v>
      </c>
      <c r="H26" s="19"/>
    </row>
    <row r="27" spans="2:8" x14ac:dyDescent="0.35">
      <c r="B27" s="9">
        <v>46033</v>
      </c>
      <c r="C27" s="13" t="s">
        <v>71</v>
      </c>
      <c r="D27" s="7">
        <f>_xlfn.XLOOKUP(general_journal!$E27, chart_of_accounts[Account name], chart_of_accounts[Code])</f>
        <v>1310</v>
      </c>
      <c r="E27" s="7" t="s">
        <v>9</v>
      </c>
      <c r="F27" s="7" t="s">
        <v>72</v>
      </c>
      <c r="G27" s="18"/>
      <c r="H27" s="19">
        <v>63000</v>
      </c>
    </row>
    <row r="28" spans="2:8" x14ac:dyDescent="0.35">
      <c r="B28" s="9">
        <v>46034</v>
      </c>
      <c r="C28" s="13" t="s">
        <v>73</v>
      </c>
      <c r="D28" s="7">
        <f>_xlfn.XLOOKUP(general_journal!$E28, chart_of_accounts[Account name], chart_of_accounts[Code])</f>
        <v>3310</v>
      </c>
      <c r="E28" s="7" t="s">
        <v>20</v>
      </c>
      <c r="F28" s="7" t="s">
        <v>74</v>
      </c>
      <c r="G28" s="18">
        <v>8000</v>
      </c>
      <c r="H28" s="19"/>
    </row>
    <row r="29" spans="2:8" x14ac:dyDescent="0.35">
      <c r="B29" s="9">
        <v>46034</v>
      </c>
      <c r="C29" s="13" t="s">
        <v>73</v>
      </c>
      <c r="D29" s="7">
        <f>_xlfn.XLOOKUP(general_journal!$E29, chart_of_accounts[Account name], chart_of_accounts[Code])</f>
        <v>1310</v>
      </c>
      <c r="E29" s="7" t="s">
        <v>9</v>
      </c>
      <c r="F29" s="7" t="s">
        <v>74</v>
      </c>
      <c r="G29" s="18"/>
      <c r="H29" s="19">
        <v>8000</v>
      </c>
    </row>
    <row r="30" spans="2:8" x14ac:dyDescent="0.35">
      <c r="B30" s="9">
        <v>46036</v>
      </c>
      <c r="C30" s="13" t="s">
        <v>75</v>
      </c>
      <c r="D30" s="7">
        <f>_xlfn.XLOOKUP(general_journal!$E30, chart_of_accounts[Account name], chart_of_accounts[Code])</f>
        <v>1350</v>
      </c>
      <c r="E30" s="7" t="s">
        <v>13</v>
      </c>
      <c r="F30" s="7" t="s">
        <v>76</v>
      </c>
      <c r="G30" s="18">
        <v>55000</v>
      </c>
      <c r="H30" s="19"/>
    </row>
    <row r="31" spans="2:8" x14ac:dyDescent="0.35">
      <c r="B31" s="9">
        <v>46036</v>
      </c>
      <c r="C31" s="13" t="s">
        <v>75</v>
      </c>
      <c r="D31" s="7">
        <f>_xlfn.XLOOKUP(general_journal!$E31, chart_of_accounts[Account name], chart_of_accounts[Code])</f>
        <v>4100</v>
      </c>
      <c r="E31" s="7" t="s">
        <v>24</v>
      </c>
      <c r="F31" s="7" t="s">
        <v>76</v>
      </c>
      <c r="G31" s="18"/>
      <c r="H31" s="19">
        <v>55000</v>
      </c>
    </row>
    <row r="32" spans="2:8" x14ac:dyDescent="0.35">
      <c r="B32" s="9">
        <v>46036</v>
      </c>
      <c r="C32" s="13" t="s">
        <v>77</v>
      </c>
      <c r="D32" s="7">
        <f>_xlfn.XLOOKUP(general_journal!$E32, chart_of_accounts[Account name], chart_of_accounts[Code])</f>
        <v>5100</v>
      </c>
      <c r="E32" s="7" t="s">
        <v>29</v>
      </c>
      <c r="F32" s="7" t="s">
        <v>78</v>
      </c>
      <c r="G32" s="18">
        <v>31000</v>
      </c>
      <c r="H32" s="19"/>
    </row>
    <row r="33" spans="2:8" x14ac:dyDescent="0.35">
      <c r="B33" s="9">
        <v>46036</v>
      </c>
      <c r="C33" s="13" t="s">
        <v>77</v>
      </c>
      <c r="D33" s="7">
        <f>_xlfn.XLOOKUP(general_journal!$E33, chart_of_accounts[Account name], chart_of_accounts[Code])</f>
        <v>1310</v>
      </c>
      <c r="E33" s="7" t="s">
        <v>9</v>
      </c>
      <c r="F33" s="7" t="s">
        <v>78</v>
      </c>
      <c r="G33" s="18"/>
      <c r="H33" s="19">
        <v>31000</v>
      </c>
    </row>
    <row r="34" spans="2:8" x14ac:dyDescent="0.35">
      <c r="B34" s="9">
        <v>46037</v>
      </c>
      <c r="C34" s="13" t="s">
        <v>79</v>
      </c>
      <c r="D34" s="7">
        <f>_xlfn.XLOOKUP(general_journal!$E34, chart_of_accounts[Account name], chart_of_accounts[Code])</f>
        <v>1310</v>
      </c>
      <c r="E34" s="7" t="s">
        <v>9</v>
      </c>
      <c r="F34" s="7" t="s">
        <v>80</v>
      </c>
      <c r="G34" s="18">
        <v>244000</v>
      </c>
      <c r="H34" s="19"/>
    </row>
    <row r="35" spans="2:8" x14ac:dyDescent="0.35">
      <c r="B35" s="9">
        <v>46037</v>
      </c>
      <c r="C35" s="13" t="s">
        <v>79</v>
      </c>
      <c r="D35" s="7">
        <f>_xlfn.XLOOKUP(general_journal!$E35, chart_of_accounts[Account name], chart_of_accounts[Code])</f>
        <v>3310</v>
      </c>
      <c r="E35" s="7" t="s">
        <v>20</v>
      </c>
      <c r="F35" s="7" t="s">
        <v>80</v>
      </c>
      <c r="G35" s="18"/>
      <c r="H35" s="19">
        <v>244000</v>
      </c>
    </row>
    <row r="36" spans="2:8" x14ac:dyDescent="0.35">
      <c r="B36" s="9">
        <v>46039</v>
      </c>
      <c r="C36" s="13" t="s">
        <v>81</v>
      </c>
      <c r="D36" s="7">
        <f>_xlfn.XLOOKUP(general_journal!$E36, chart_of_accounts[Account name], chart_of_accounts[Code])</f>
        <v>1320</v>
      </c>
      <c r="E36" s="7" t="s">
        <v>11</v>
      </c>
      <c r="F36" s="7" t="s">
        <v>82</v>
      </c>
      <c r="G36" s="18">
        <v>135000</v>
      </c>
      <c r="H36" s="19"/>
    </row>
    <row r="37" spans="2:8" x14ac:dyDescent="0.35">
      <c r="B37" s="9">
        <v>46039</v>
      </c>
      <c r="C37" s="13" t="s">
        <v>81</v>
      </c>
      <c r="D37" s="7">
        <f>_xlfn.XLOOKUP(general_journal!$E37, chart_of_accounts[Account name], chart_of_accounts[Code])</f>
        <v>4100</v>
      </c>
      <c r="E37" s="7" t="s">
        <v>24</v>
      </c>
      <c r="F37" s="7" t="s">
        <v>82</v>
      </c>
      <c r="G37" s="18"/>
      <c r="H37" s="19">
        <v>135000</v>
      </c>
    </row>
    <row r="38" spans="2:8" x14ac:dyDescent="0.35">
      <c r="B38" s="9">
        <v>46039</v>
      </c>
      <c r="C38" s="13" t="s">
        <v>83</v>
      </c>
      <c r="D38" s="7">
        <f>_xlfn.XLOOKUP(general_journal!$E38, chart_of_accounts[Account name], chart_of_accounts[Code])</f>
        <v>5100</v>
      </c>
      <c r="E38" s="7" t="s">
        <v>29</v>
      </c>
      <c r="F38" s="7" t="s">
        <v>84</v>
      </c>
      <c r="G38" s="18">
        <v>78000</v>
      </c>
      <c r="H38" s="19"/>
    </row>
    <row r="39" spans="2:8" x14ac:dyDescent="0.35">
      <c r="B39" s="9">
        <v>46039</v>
      </c>
      <c r="C39" s="13" t="s">
        <v>83</v>
      </c>
      <c r="D39" s="7">
        <f>_xlfn.XLOOKUP(general_journal!$E39, chart_of_accounts[Account name], chart_of_accounts[Code])</f>
        <v>1310</v>
      </c>
      <c r="E39" s="7" t="s">
        <v>9</v>
      </c>
      <c r="F39" s="7" t="s">
        <v>84</v>
      </c>
      <c r="G39" s="18"/>
      <c r="H39" s="19">
        <v>78000</v>
      </c>
    </row>
    <row r="40" spans="2:8" x14ac:dyDescent="0.35">
      <c r="B40" s="9">
        <v>46040</v>
      </c>
      <c r="C40" s="13" t="s">
        <v>85</v>
      </c>
      <c r="D40" s="7">
        <f>_xlfn.XLOOKUP(general_journal!$E40, chart_of_accounts[Account name], chart_of_accounts[Code])</f>
        <v>3310</v>
      </c>
      <c r="E40" s="7" t="s">
        <v>20</v>
      </c>
      <c r="F40" s="7" t="s">
        <v>86</v>
      </c>
      <c r="G40" s="18">
        <v>40000</v>
      </c>
      <c r="H40" s="19"/>
    </row>
    <row r="41" spans="2:8" x14ac:dyDescent="0.35">
      <c r="B41" s="9">
        <v>46040</v>
      </c>
      <c r="C41" s="13" t="s">
        <v>85</v>
      </c>
      <c r="D41" s="7">
        <f>_xlfn.XLOOKUP(general_journal!$E41, chart_of_accounts[Account name], chart_of_accounts[Code])</f>
        <v>1350</v>
      </c>
      <c r="E41" s="7" t="s">
        <v>13</v>
      </c>
      <c r="F41" s="7" t="s">
        <v>86</v>
      </c>
      <c r="G41" s="18"/>
      <c r="H41" s="19">
        <v>40000</v>
      </c>
    </row>
    <row r="42" spans="2:8" x14ac:dyDescent="0.35">
      <c r="B42" s="9">
        <v>46042</v>
      </c>
      <c r="C42" s="13" t="s">
        <v>87</v>
      </c>
      <c r="D42" s="7">
        <f>_xlfn.XLOOKUP(general_journal!$E42, chart_of_accounts[Account name], chart_of_accounts[Code])</f>
        <v>1350</v>
      </c>
      <c r="E42" s="7" t="s">
        <v>13</v>
      </c>
      <c r="F42" s="7" t="s">
        <v>88</v>
      </c>
      <c r="G42" s="18">
        <v>70000</v>
      </c>
      <c r="H42" s="19"/>
    </row>
    <row r="43" spans="2:8" x14ac:dyDescent="0.35">
      <c r="B43" s="9">
        <v>46042</v>
      </c>
      <c r="C43" s="13" t="s">
        <v>87</v>
      </c>
      <c r="D43" s="7">
        <f>_xlfn.XLOOKUP(general_journal!$E43, chart_of_accounts[Account name], chart_of_accounts[Code])</f>
        <v>1320</v>
      </c>
      <c r="E43" s="7" t="s">
        <v>11</v>
      </c>
      <c r="F43" s="7" t="s">
        <v>88</v>
      </c>
      <c r="G43" s="18"/>
      <c r="H43" s="19">
        <v>70000</v>
      </c>
    </row>
    <row r="44" spans="2:8" x14ac:dyDescent="0.35">
      <c r="B44" s="9">
        <v>46043</v>
      </c>
      <c r="C44" s="13" t="s">
        <v>89</v>
      </c>
      <c r="D44" s="7">
        <f>_xlfn.XLOOKUP(general_journal!$E44, chart_of_accounts[Account name], chart_of_accounts[Code])</f>
        <v>4300</v>
      </c>
      <c r="E44" s="7" t="s">
        <v>27</v>
      </c>
      <c r="F44" s="7" t="s">
        <v>90</v>
      </c>
      <c r="G44" s="18">
        <v>12000</v>
      </c>
      <c r="H44" s="19"/>
    </row>
    <row r="45" spans="2:8" x14ac:dyDescent="0.35">
      <c r="B45" s="9">
        <v>46043</v>
      </c>
      <c r="C45" s="13" t="s">
        <v>89</v>
      </c>
      <c r="D45" s="7">
        <f>_xlfn.XLOOKUP(general_journal!$E45, chart_of_accounts[Account name], chart_of_accounts[Code])</f>
        <v>1320</v>
      </c>
      <c r="E45" s="7" t="s">
        <v>11</v>
      </c>
      <c r="F45" s="7" t="s">
        <v>90</v>
      </c>
      <c r="G45" s="18"/>
      <c r="H45" s="19">
        <v>12000</v>
      </c>
    </row>
    <row r="46" spans="2:8" x14ac:dyDescent="0.35">
      <c r="B46" s="9">
        <v>46043</v>
      </c>
      <c r="C46" s="13" t="s">
        <v>91</v>
      </c>
      <c r="D46" s="7">
        <f>_xlfn.XLOOKUP(general_journal!$E46, chart_of_accounts[Account name], chart_of_accounts[Code])</f>
        <v>1310</v>
      </c>
      <c r="E46" s="7" t="s">
        <v>9</v>
      </c>
      <c r="F46" s="7" t="s">
        <v>92</v>
      </c>
      <c r="G46" s="18">
        <v>7000</v>
      </c>
      <c r="H46" s="19"/>
    </row>
    <row r="47" spans="2:8" x14ac:dyDescent="0.35">
      <c r="B47" s="9">
        <v>46043</v>
      </c>
      <c r="C47" s="13" t="s">
        <v>91</v>
      </c>
      <c r="D47" s="7">
        <f>_xlfn.XLOOKUP(general_journal!$E47, chart_of_accounts[Account name], chart_of_accounts[Code])</f>
        <v>5100</v>
      </c>
      <c r="E47" s="7" t="s">
        <v>29</v>
      </c>
      <c r="F47" s="7" t="s">
        <v>92</v>
      </c>
      <c r="G47" s="18"/>
      <c r="H47" s="19">
        <v>7000</v>
      </c>
    </row>
    <row r="48" spans="2:8" x14ac:dyDescent="0.35">
      <c r="B48" s="9">
        <v>46044</v>
      </c>
      <c r="C48" s="13" t="s">
        <v>93</v>
      </c>
      <c r="D48" s="7">
        <f>_xlfn.XLOOKUP(general_journal!$E48, chart_of_accounts[Account name], chart_of_accounts[Code])</f>
        <v>1350</v>
      </c>
      <c r="E48" s="7" t="s">
        <v>13</v>
      </c>
      <c r="F48" s="7" t="s">
        <v>94</v>
      </c>
      <c r="G48" s="18">
        <v>150000</v>
      </c>
      <c r="H48" s="19"/>
    </row>
    <row r="49" spans="2:8" x14ac:dyDescent="0.35">
      <c r="B49" s="9">
        <v>46044</v>
      </c>
      <c r="C49" s="13" t="s">
        <v>93</v>
      </c>
      <c r="D49" s="7">
        <f>_xlfn.XLOOKUP(general_journal!$E49, chart_of_accounts[Account name], chart_of_accounts[Code])</f>
        <v>3100</v>
      </c>
      <c r="E49" s="7" t="s">
        <v>18</v>
      </c>
      <c r="F49" s="7" t="s">
        <v>94</v>
      </c>
      <c r="G49" s="18"/>
      <c r="H49" s="19">
        <v>150000</v>
      </c>
    </row>
    <row r="50" spans="2:8" x14ac:dyDescent="0.35">
      <c r="B50" s="9">
        <v>46045</v>
      </c>
      <c r="C50" s="13" t="s">
        <v>95</v>
      </c>
      <c r="D50" s="7">
        <f>_xlfn.XLOOKUP(general_journal!$E50, chart_of_accounts[Account name], chart_of_accounts[Code])</f>
        <v>1350</v>
      </c>
      <c r="E50" s="7" t="s">
        <v>13</v>
      </c>
      <c r="F50" s="7" t="s">
        <v>76</v>
      </c>
      <c r="G50" s="18">
        <v>80000</v>
      </c>
      <c r="H50" s="19"/>
    </row>
    <row r="51" spans="2:8" x14ac:dyDescent="0.35">
      <c r="B51" s="9">
        <v>46045</v>
      </c>
      <c r="C51" s="13" t="s">
        <v>95</v>
      </c>
      <c r="D51" s="7">
        <f>_xlfn.XLOOKUP(general_journal!$E51, chart_of_accounts[Account name], chart_of_accounts[Code])</f>
        <v>4100</v>
      </c>
      <c r="E51" s="7" t="s">
        <v>24</v>
      </c>
      <c r="F51" s="7" t="s">
        <v>76</v>
      </c>
      <c r="G51" s="18"/>
      <c r="H51" s="19">
        <v>80000</v>
      </c>
    </row>
    <row r="52" spans="2:8" x14ac:dyDescent="0.35">
      <c r="B52" s="9">
        <v>46045</v>
      </c>
      <c r="C52" s="13" t="s">
        <v>96</v>
      </c>
      <c r="D52" s="7">
        <f>_xlfn.XLOOKUP(general_journal!$E52, chart_of_accounts[Account name], chart_of_accounts[Code])</f>
        <v>5100</v>
      </c>
      <c r="E52" s="7" t="s">
        <v>29</v>
      </c>
      <c r="F52" s="7" t="s">
        <v>78</v>
      </c>
      <c r="G52" s="18">
        <v>46000</v>
      </c>
      <c r="H52" s="19"/>
    </row>
    <row r="53" spans="2:8" x14ac:dyDescent="0.35">
      <c r="B53" s="9">
        <v>46045</v>
      </c>
      <c r="C53" s="13" t="s">
        <v>96</v>
      </c>
      <c r="D53" s="7">
        <f>_xlfn.XLOOKUP(general_journal!$E53, chart_of_accounts[Account name], chart_of_accounts[Code])</f>
        <v>1310</v>
      </c>
      <c r="E53" s="7" t="s">
        <v>9</v>
      </c>
      <c r="F53" s="7" t="s">
        <v>78</v>
      </c>
      <c r="G53" s="18"/>
      <c r="H53" s="19">
        <v>46000</v>
      </c>
    </row>
    <row r="54" spans="2:8" x14ac:dyDescent="0.35">
      <c r="B54" s="9">
        <v>46046</v>
      </c>
      <c r="C54" s="13" t="s">
        <v>97</v>
      </c>
      <c r="D54" s="7">
        <f>_xlfn.XLOOKUP(general_journal!$E54, chart_of_accounts[Account name], chart_of_accounts[Code])</f>
        <v>3100</v>
      </c>
      <c r="E54" s="7" t="s">
        <v>18</v>
      </c>
      <c r="F54" s="7" t="s">
        <v>98</v>
      </c>
      <c r="G54" s="18">
        <v>2000</v>
      </c>
      <c r="H54" s="19"/>
    </row>
    <row r="55" spans="2:8" x14ac:dyDescent="0.35">
      <c r="B55" s="9">
        <v>46046</v>
      </c>
      <c r="C55" s="13" t="s">
        <v>97</v>
      </c>
      <c r="D55" s="7">
        <f>_xlfn.XLOOKUP(general_journal!$E55, chart_of_accounts[Account name], chart_of_accounts[Code])</f>
        <v>1350</v>
      </c>
      <c r="E55" s="7" t="s">
        <v>13</v>
      </c>
      <c r="F55" s="7" t="s">
        <v>98</v>
      </c>
      <c r="G55" s="18"/>
      <c r="H55" s="19">
        <v>2000</v>
      </c>
    </row>
    <row r="56" spans="2:8" x14ac:dyDescent="0.35">
      <c r="B56" s="9">
        <v>46047</v>
      </c>
      <c r="C56" s="13" t="s">
        <v>99</v>
      </c>
      <c r="D56" s="7">
        <f>_xlfn.XLOOKUP(general_journal!$E56, chart_of_accounts[Account name], chart_of_accounts[Code])</f>
        <v>1320</v>
      </c>
      <c r="E56" s="7" t="s">
        <v>11</v>
      </c>
      <c r="F56" s="7" t="s">
        <v>100</v>
      </c>
      <c r="G56" s="18">
        <v>150000</v>
      </c>
      <c r="H56" s="19"/>
    </row>
    <row r="57" spans="2:8" x14ac:dyDescent="0.35">
      <c r="B57" s="9">
        <v>46047</v>
      </c>
      <c r="C57" s="13" t="s">
        <v>99</v>
      </c>
      <c r="D57" s="7">
        <f>_xlfn.XLOOKUP(general_journal!$E57, chart_of_accounts[Account name], chart_of_accounts[Code])</f>
        <v>4100</v>
      </c>
      <c r="E57" s="7" t="s">
        <v>24</v>
      </c>
      <c r="F57" s="7" t="s">
        <v>100</v>
      </c>
      <c r="G57" s="18"/>
      <c r="H57" s="19">
        <v>150000</v>
      </c>
    </row>
    <row r="58" spans="2:8" x14ac:dyDescent="0.35">
      <c r="B58" s="9">
        <v>46047</v>
      </c>
      <c r="C58" s="13" t="s">
        <v>101</v>
      </c>
      <c r="D58" s="7">
        <f>_xlfn.XLOOKUP(general_journal!$E58, chart_of_accounts[Account name], chart_of_accounts[Code])</f>
        <v>5100</v>
      </c>
      <c r="E58" s="7" t="s">
        <v>29</v>
      </c>
      <c r="F58" s="7" t="s">
        <v>102</v>
      </c>
      <c r="G58" s="18">
        <v>87000</v>
      </c>
      <c r="H58" s="19"/>
    </row>
    <row r="59" spans="2:8" x14ac:dyDescent="0.35">
      <c r="B59" s="9">
        <v>46047</v>
      </c>
      <c r="C59" s="13" t="s">
        <v>101</v>
      </c>
      <c r="D59" s="7">
        <f>_xlfn.XLOOKUP(general_journal!$E59, chart_of_accounts[Account name], chart_of_accounts[Code])</f>
        <v>1310</v>
      </c>
      <c r="E59" s="7" t="s">
        <v>9</v>
      </c>
      <c r="F59" s="7" t="s">
        <v>102</v>
      </c>
      <c r="G59" s="18"/>
      <c r="H59" s="19">
        <v>87000</v>
      </c>
    </row>
    <row r="60" spans="2:8" x14ac:dyDescent="0.35">
      <c r="B60" s="9">
        <v>46048</v>
      </c>
      <c r="C60" s="13" t="s">
        <v>103</v>
      </c>
      <c r="D60" s="7">
        <f>_xlfn.XLOOKUP(general_journal!$E60, chart_of_accounts[Account name], chart_of_accounts[Code])</f>
        <v>6100</v>
      </c>
      <c r="E60" s="7" t="s">
        <v>32</v>
      </c>
      <c r="F60" s="7" t="s">
        <v>104</v>
      </c>
      <c r="G60" s="18">
        <v>18000</v>
      </c>
      <c r="H60" s="19"/>
    </row>
    <row r="61" spans="2:8" x14ac:dyDescent="0.35">
      <c r="B61" s="9">
        <v>46048</v>
      </c>
      <c r="C61" s="13" t="s">
        <v>103</v>
      </c>
      <c r="D61" s="7">
        <f>_xlfn.XLOOKUP(general_journal!$E61, chart_of_accounts[Account name], chart_of_accounts[Code])</f>
        <v>1350</v>
      </c>
      <c r="E61" s="7" t="s">
        <v>13</v>
      </c>
      <c r="F61" s="7" t="s">
        <v>104</v>
      </c>
      <c r="G61" s="18"/>
      <c r="H61" s="19">
        <v>18000</v>
      </c>
    </row>
    <row r="62" spans="2:8" x14ac:dyDescent="0.35">
      <c r="B62" s="9">
        <v>46049</v>
      </c>
      <c r="C62" s="13" t="s">
        <v>105</v>
      </c>
      <c r="D62" s="7">
        <f>_xlfn.XLOOKUP(general_journal!$E62, chart_of_accounts[Account name], chart_of_accounts[Code])</f>
        <v>1350</v>
      </c>
      <c r="E62" s="7" t="s">
        <v>13</v>
      </c>
      <c r="F62" s="7" t="s">
        <v>106</v>
      </c>
      <c r="G62" s="18">
        <v>90000</v>
      </c>
      <c r="H62" s="19"/>
    </row>
    <row r="63" spans="2:8" x14ac:dyDescent="0.35">
      <c r="B63" s="9">
        <v>46049</v>
      </c>
      <c r="C63" s="13" t="s">
        <v>105</v>
      </c>
      <c r="D63" s="7">
        <f>_xlfn.XLOOKUP(general_journal!$E63, chart_of_accounts[Account name], chart_of_accounts[Code])</f>
        <v>1320</v>
      </c>
      <c r="E63" s="7" t="s">
        <v>11</v>
      </c>
      <c r="F63" s="7" t="s">
        <v>106</v>
      </c>
      <c r="G63" s="18"/>
      <c r="H63" s="19">
        <v>90000</v>
      </c>
    </row>
    <row r="64" spans="2:8" x14ac:dyDescent="0.35">
      <c r="B64" s="9">
        <v>46050</v>
      </c>
      <c r="C64" s="13" t="s">
        <v>107</v>
      </c>
      <c r="D64" s="7">
        <f>_xlfn.XLOOKUP(general_journal!$E64, chart_of_accounts[Account name], chart_of_accounts[Code])</f>
        <v>6400</v>
      </c>
      <c r="E64" s="7" t="s">
        <v>36</v>
      </c>
      <c r="F64" s="7" t="s">
        <v>108</v>
      </c>
      <c r="G64" s="18">
        <v>5000</v>
      </c>
      <c r="H64" s="19"/>
    </row>
    <row r="65" spans="2:8" x14ac:dyDescent="0.35">
      <c r="B65" s="9">
        <v>46050</v>
      </c>
      <c r="C65" s="13" t="s">
        <v>107</v>
      </c>
      <c r="D65" s="7">
        <f>_xlfn.XLOOKUP(general_journal!$E65, chart_of_accounts[Account name], chart_of_accounts[Code])</f>
        <v>1350</v>
      </c>
      <c r="E65" s="7" t="s">
        <v>13</v>
      </c>
      <c r="F65" s="7" t="s">
        <v>108</v>
      </c>
      <c r="G65" s="18"/>
      <c r="H65" s="19">
        <v>5000</v>
      </c>
    </row>
    <row r="66" spans="2:8" x14ac:dyDescent="0.35">
      <c r="B66" s="9">
        <v>46051</v>
      </c>
      <c r="C66" s="13" t="s">
        <v>109</v>
      </c>
      <c r="D66" s="7">
        <f>_xlfn.XLOOKUP(general_journal!$E66, chart_of_accounts[Account name], chart_of_accounts[Code])</f>
        <v>1350</v>
      </c>
      <c r="E66" s="7" t="s">
        <v>13</v>
      </c>
      <c r="F66" s="7" t="s">
        <v>110</v>
      </c>
      <c r="G66" s="18">
        <v>30000</v>
      </c>
      <c r="H66" s="19"/>
    </row>
    <row r="67" spans="2:8" x14ac:dyDescent="0.35">
      <c r="B67" s="9">
        <v>46051</v>
      </c>
      <c r="C67" s="13" t="s">
        <v>109</v>
      </c>
      <c r="D67" s="7">
        <f>_xlfn.XLOOKUP(general_journal!$E67, chart_of_accounts[Account name], chart_of_accounts[Code])</f>
        <v>3340</v>
      </c>
      <c r="E67" s="7" t="s">
        <v>23</v>
      </c>
      <c r="F67" s="7" t="s">
        <v>110</v>
      </c>
      <c r="G67" s="18"/>
      <c r="H67" s="19">
        <v>30000</v>
      </c>
    </row>
    <row r="68" spans="2:8" x14ac:dyDescent="0.35">
      <c r="B68" s="9">
        <v>46051</v>
      </c>
      <c r="C68" s="13" t="s">
        <v>111</v>
      </c>
      <c r="D68" s="7">
        <f>_xlfn.XLOOKUP(general_journal!$E68, chart_of_accounts[Account name], chart_of_accounts[Code])</f>
        <v>6500</v>
      </c>
      <c r="E68" s="7" t="s">
        <v>37</v>
      </c>
      <c r="F68" s="7" t="s">
        <v>112</v>
      </c>
      <c r="G68" s="18">
        <v>4500</v>
      </c>
      <c r="H68" s="19"/>
    </row>
    <row r="69" spans="2:8" x14ac:dyDescent="0.35">
      <c r="B69" s="9">
        <v>46051</v>
      </c>
      <c r="C69" s="13" t="s">
        <v>111</v>
      </c>
      <c r="D69" s="7">
        <f>_xlfn.XLOOKUP(general_journal!$E69, chart_of_accounts[Account name], chart_of_accounts[Code])</f>
        <v>1350</v>
      </c>
      <c r="E69" s="7" t="s">
        <v>13</v>
      </c>
      <c r="F69" s="7" t="s">
        <v>112</v>
      </c>
      <c r="G69" s="18"/>
      <c r="H69" s="19">
        <v>4500</v>
      </c>
    </row>
    <row r="70" spans="2:8" x14ac:dyDescent="0.35">
      <c r="B70" s="9">
        <v>46052</v>
      </c>
      <c r="C70" s="13" t="s">
        <v>113</v>
      </c>
      <c r="D70" s="7">
        <f>_xlfn.XLOOKUP(general_journal!$E70, chart_of_accounts[Account name], chart_of_accounts[Code])</f>
        <v>6900</v>
      </c>
      <c r="E70" s="7" t="s">
        <v>43</v>
      </c>
      <c r="F70" s="7" t="s">
        <v>114</v>
      </c>
      <c r="G70" s="18">
        <v>2000</v>
      </c>
      <c r="H70" s="19"/>
    </row>
    <row r="71" spans="2:8" x14ac:dyDescent="0.35">
      <c r="B71" s="9">
        <v>46052</v>
      </c>
      <c r="C71" s="13" t="s">
        <v>113</v>
      </c>
      <c r="D71" s="7">
        <f>_xlfn.XLOOKUP(general_journal!$E71, chart_of_accounts[Account name], chart_of_accounts[Code])</f>
        <v>1350</v>
      </c>
      <c r="E71" s="7" t="s">
        <v>13</v>
      </c>
      <c r="F71" s="7" t="s">
        <v>114</v>
      </c>
      <c r="G71" s="18"/>
      <c r="H71" s="19">
        <v>2000</v>
      </c>
    </row>
    <row r="72" spans="2:8" x14ac:dyDescent="0.35">
      <c r="B72" s="9">
        <v>46053</v>
      </c>
      <c r="C72" s="13" t="s">
        <v>115</v>
      </c>
      <c r="D72" s="7">
        <f>_xlfn.XLOOKUP(general_journal!$E72, chart_of_accounts[Account name], chart_of_accounts[Code])</f>
        <v>6700</v>
      </c>
      <c r="E72" s="7" t="s">
        <v>39</v>
      </c>
      <c r="F72" s="7" t="s">
        <v>116</v>
      </c>
      <c r="G72" s="18">
        <v>6000</v>
      </c>
      <c r="H72" s="19"/>
    </row>
    <row r="73" spans="2:8" x14ac:dyDescent="0.35">
      <c r="B73" s="9">
        <v>46053</v>
      </c>
      <c r="C73" s="13" t="s">
        <v>115</v>
      </c>
      <c r="D73" s="7">
        <f>_xlfn.XLOOKUP(general_journal!$E73, chart_of_accounts[Account name], chart_of_accounts[Code])</f>
        <v>1350</v>
      </c>
      <c r="E73" s="7" t="s">
        <v>13</v>
      </c>
      <c r="F73" s="7" t="s">
        <v>116</v>
      </c>
      <c r="G73" s="18"/>
      <c r="H73" s="19">
        <v>6000</v>
      </c>
    </row>
    <row r="74" spans="2:8" x14ac:dyDescent="0.35">
      <c r="B74" s="9">
        <v>46053</v>
      </c>
      <c r="C74" s="13" t="s">
        <v>117</v>
      </c>
      <c r="D74" s="7">
        <f>_xlfn.XLOOKUP(general_journal!$E74, chart_of_accounts[Account name], chart_of_accounts[Code])</f>
        <v>6100</v>
      </c>
      <c r="E74" s="7" t="s">
        <v>32</v>
      </c>
      <c r="F74" s="7" t="s">
        <v>174</v>
      </c>
      <c r="G74" s="18">
        <v>2500</v>
      </c>
      <c r="H74" s="19"/>
    </row>
    <row r="75" spans="2:8" x14ac:dyDescent="0.35">
      <c r="B75" s="9">
        <v>46053</v>
      </c>
      <c r="C75" s="13" t="s">
        <v>117</v>
      </c>
      <c r="D75" s="7">
        <f>_xlfn.XLOOKUP(general_journal!$E75, chart_of_accounts[Account name], chart_of_accounts[Code])</f>
        <v>3320</v>
      </c>
      <c r="E75" s="7" t="s">
        <v>22</v>
      </c>
      <c r="F75" s="7" t="s">
        <v>174</v>
      </c>
      <c r="G75" s="18"/>
      <c r="H75" s="19">
        <v>2500</v>
      </c>
    </row>
    <row r="76" spans="2:8" x14ac:dyDescent="0.35">
      <c r="B76" s="9">
        <v>46053</v>
      </c>
      <c r="C76" s="13" t="s">
        <v>118</v>
      </c>
      <c r="D76" s="7">
        <f>_xlfn.XLOOKUP(general_journal!$E76, chart_of_accounts[Account name], chart_of_accounts[Code])</f>
        <v>6500</v>
      </c>
      <c r="E76" s="7" t="s">
        <v>37</v>
      </c>
      <c r="F76" s="7" t="s">
        <v>175</v>
      </c>
      <c r="G76" s="18">
        <v>1200</v>
      </c>
      <c r="H76" s="19"/>
    </row>
    <row r="77" spans="2:8" x14ac:dyDescent="0.35">
      <c r="B77" s="9">
        <v>46053</v>
      </c>
      <c r="C77" s="13" t="s">
        <v>118</v>
      </c>
      <c r="D77" s="7">
        <f>_xlfn.XLOOKUP(general_journal!$E77, chart_of_accounts[Account name], chart_of_accounts[Code])</f>
        <v>3320</v>
      </c>
      <c r="E77" s="7" t="s">
        <v>22</v>
      </c>
      <c r="F77" s="7" t="s">
        <v>175</v>
      </c>
      <c r="G77" s="18"/>
      <c r="H77" s="19">
        <v>1200</v>
      </c>
    </row>
    <row r="78" spans="2:8" x14ac:dyDescent="0.35">
      <c r="B78" s="9">
        <v>46053</v>
      </c>
      <c r="C78" s="13" t="s">
        <v>119</v>
      </c>
      <c r="D78" s="7">
        <f>_xlfn.XLOOKUP(general_journal!$E78, chart_of_accounts[Account name], chart_of_accounts[Code])</f>
        <v>6800</v>
      </c>
      <c r="E78" s="7" t="s">
        <v>40</v>
      </c>
      <c r="F78" s="7" t="s">
        <v>176</v>
      </c>
      <c r="G78" s="18">
        <f>24000/5 * 1/12</f>
        <v>400</v>
      </c>
      <c r="H78" s="19"/>
    </row>
    <row r="79" spans="2:8" x14ac:dyDescent="0.35">
      <c r="B79" s="9">
        <v>46053</v>
      </c>
      <c r="C79" s="13" t="s">
        <v>119</v>
      </c>
      <c r="D79" s="7">
        <f>_xlfn.XLOOKUP(general_journal!$E79, chart_of_accounts[Account name], chart_of_accounts[Code])</f>
        <v>1190</v>
      </c>
      <c r="E79" s="7" t="s">
        <v>7</v>
      </c>
      <c r="F79" s="7" t="s">
        <v>176</v>
      </c>
      <c r="G79" s="18"/>
      <c r="H79" s="19">
        <f>G78</f>
        <v>400</v>
      </c>
    </row>
    <row r="80" spans="2:8" x14ac:dyDescent="0.35">
      <c r="B80" s="9">
        <v>46053</v>
      </c>
      <c r="C80" s="13" t="s">
        <v>120</v>
      </c>
      <c r="D80" s="7">
        <f>_xlfn.XLOOKUP(general_journal!$E80, chart_of_accounts[Account name], chart_of_accounts[Code])</f>
        <v>6800</v>
      </c>
      <c r="E80" s="7" t="s">
        <v>40</v>
      </c>
      <c r="F80" s="7" t="s">
        <v>177</v>
      </c>
      <c r="G80" s="18">
        <f>30000/3 * 1/12</f>
        <v>833.33333333333337</v>
      </c>
      <c r="H80" s="19"/>
    </row>
    <row r="81" spans="2:8" x14ac:dyDescent="0.35">
      <c r="B81" s="9">
        <v>46053</v>
      </c>
      <c r="C81" s="13" t="s">
        <v>120</v>
      </c>
      <c r="D81" s="7">
        <f>_xlfn.XLOOKUP(general_journal!$E81, chart_of_accounts[Account name], chart_of_accounts[Code])</f>
        <v>1190</v>
      </c>
      <c r="E81" s="7" t="s">
        <v>7</v>
      </c>
      <c r="F81" s="7" t="s">
        <v>177</v>
      </c>
      <c r="G81" s="18"/>
      <c r="H81" s="19">
        <f>G80</f>
        <v>833.33333333333337</v>
      </c>
    </row>
    <row r="82" spans="2:8" x14ac:dyDescent="0.35">
      <c r="B82" s="9">
        <v>46053</v>
      </c>
      <c r="C82" s="13" t="s">
        <v>121</v>
      </c>
      <c r="D82" s="7">
        <f>_xlfn.XLOOKUP(general_journal!$E82, chart_of_accounts[Account name], chart_of_accounts[Code])</f>
        <v>6300</v>
      </c>
      <c r="E82" s="7" t="s">
        <v>35</v>
      </c>
      <c r="F82" s="7" t="s">
        <v>178</v>
      </c>
      <c r="G82" s="18">
        <f>12000/12</f>
        <v>1000</v>
      </c>
      <c r="H82" s="19"/>
    </row>
    <row r="83" spans="2:8" x14ac:dyDescent="0.35">
      <c r="B83" s="9">
        <v>46053</v>
      </c>
      <c r="C83" s="13" t="s">
        <v>121</v>
      </c>
      <c r="D83" s="7">
        <f>_xlfn.XLOOKUP(general_journal!$E83, chart_of_accounts[Account name], chart_of_accounts[Code])</f>
        <v>1340</v>
      </c>
      <c r="E83" s="7" t="s">
        <v>12</v>
      </c>
      <c r="F83" s="7" t="s">
        <v>178</v>
      </c>
      <c r="G83" s="18"/>
      <c r="H83" s="19">
        <f>G82</f>
        <v>1000</v>
      </c>
    </row>
    <row r="84" spans="2:8" x14ac:dyDescent="0.35">
      <c r="B84" s="9">
        <v>46053</v>
      </c>
      <c r="C84" s="13" t="s">
        <v>122</v>
      </c>
      <c r="D84" s="7">
        <f>_xlfn.XLOOKUP(general_journal!$E84, chart_of_accounts[Account name], chart_of_accounts[Code])</f>
        <v>5200</v>
      </c>
      <c r="E84" s="7" t="s">
        <v>31</v>
      </c>
      <c r="F84" s="7" t="s">
        <v>179</v>
      </c>
      <c r="G84" s="18">
        <f>5000 - (3800 - 300)</f>
        <v>1500</v>
      </c>
      <c r="H84" s="19"/>
    </row>
    <row r="85" spans="2:8" x14ac:dyDescent="0.35">
      <c r="B85" s="9">
        <v>46053</v>
      </c>
      <c r="C85" s="13" t="s">
        <v>122</v>
      </c>
      <c r="D85" s="7">
        <f>_xlfn.XLOOKUP(general_journal!$E85, chart_of_accounts[Account name], chart_of_accounts[Code])</f>
        <v>1310</v>
      </c>
      <c r="E85" s="7" t="s">
        <v>9</v>
      </c>
      <c r="F85" s="7" t="s">
        <v>179</v>
      </c>
      <c r="G85" s="18"/>
      <c r="H85" s="19">
        <f>G84</f>
        <v>1500</v>
      </c>
    </row>
    <row r="86" spans="2:8" x14ac:dyDescent="0.35">
      <c r="B86" s="9">
        <v>46053</v>
      </c>
      <c r="C86" s="13" t="s">
        <v>123</v>
      </c>
      <c r="D86" s="7">
        <f>_xlfn.XLOOKUP(general_journal!$E86, chart_of_accounts[Account name], chart_of_accounts[Code])</f>
        <v>7100</v>
      </c>
      <c r="E86" s="7" t="s">
        <v>41</v>
      </c>
      <c r="F86" s="7" t="s">
        <v>180</v>
      </c>
      <c r="G86" s="18">
        <f>150000 * 8% * 1/12</f>
        <v>1000</v>
      </c>
      <c r="H86" s="19"/>
    </row>
    <row r="87" spans="2:8" x14ac:dyDescent="0.35">
      <c r="B87" s="14">
        <v>46053</v>
      </c>
      <c r="C87" s="15" t="s">
        <v>123</v>
      </c>
      <c r="D87" s="8">
        <f>_xlfn.XLOOKUP(general_journal!$E87, chart_of_accounts[Account name], chart_of_accounts[Code])</f>
        <v>3100</v>
      </c>
      <c r="E87" s="8" t="s">
        <v>18</v>
      </c>
      <c r="F87" s="8" t="s">
        <v>180</v>
      </c>
      <c r="G87" s="20"/>
      <c r="H87" s="21">
        <f>G86</f>
        <v>1000</v>
      </c>
    </row>
    <row r="88" spans="2:8" x14ac:dyDescent="0.35">
      <c r="B88" s="9">
        <v>46053</v>
      </c>
      <c r="C88" s="13" t="s">
        <v>144</v>
      </c>
      <c r="D88" s="7">
        <f>_xlfn.XLOOKUP(general_journal!$E88, chart_of_accounts[Account name], chart_of_accounts[Code])</f>
        <v>8100</v>
      </c>
      <c r="E88" s="7" t="s">
        <v>136</v>
      </c>
      <c r="F88" s="7" t="s">
        <v>181</v>
      </c>
      <c r="G88" s="18">
        <v>45000</v>
      </c>
      <c r="H88" s="19"/>
    </row>
    <row r="89" spans="2:8" x14ac:dyDescent="0.35">
      <c r="B89" s="14">
        <v>46053</v>
      </c>
      <c r="C89" s="15" t="s">
        <v>144</v>
      </c>
      <c r="D89" s="8">
        <f>_xlfn.XLOOKUP(general_journal!$E89, chart_of_accounts[Account name], chart_of_accounts[Code])</f>
        <v>3400</v>
      </c>
      <c r="E89" s="8" t="s">
        <v>195</v>
      </c>
      <c r="F89" s="7" t="s">
        <v>181</v>
      </c>
      <c r="G89" s="20"/>
      <c r="H89" s="21">
        <v>45000</v>
      </c>
    </row>
    <row r="90" spans="2:8" x14ac:dyDescent="0.35">
      <c r="B90" s="23" t="s">
        <v>153</v>
      </c>
      <c r="C90" s="15"/>
      <c r="D90" s="8"/>
      <c r="E90" s="8"/>
      <c r="F90" s="8"/>
      <c r="G90" s="20">
        <f>SUBTOTAL(109,general_journal[Debit])</f>
        <v>2302733.3333333335</v>
      </c>
      <c r="H90" s="21">
        <f>SUBTOTAL(109,general_journal[Credit])</f>
        <v>2302733.3333333335</v>
      </c>
    </row>
    <row r="91" spans="2:8" x14ac:dyDescent="0.35"/>
    <row r="92" spans="2:8" x14ac:dyDescent="0.35">
      <c r="F92" t="s">
        <v>147</v>
      </c>
    </row>
    <row r="93" spans="2:8" x14ac:dyDescent="0.35"/>
    <row r="94" spans="2:8" x14ac:dyDescent="0.35"/>
    <row r="95" spans="2:8" x14ac:dyDescent="0.35"/>
  </sheetData>
  <sheetProtection algorithmName="SHA-512" hashValue="a7CYJPsoWrd1CxBjtlehcw4iLoK6WOm8hl0hm+Ks+G1P/3pl0rney5+I5kPgb/99qnSGb0vtfoqX9m9GAalXMw==" saltValue="5/CQU0XjO+KdyT9iwnTgKA==" spinCount="100000" sheet="1" objects="1" scenarios="1"/>
  <mergeCells count="1">
    <mergeCell ref="B2:H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FC4564E-6887-405F-9960-83C97F0DC736}">
          <x14:formula1>
            <xm:f>'chart_of_accounts'!$C$4:$C$32</xm:f>
          </x14:formula1>
          <xm:sqref>E4:E89 E91:E1048576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B938C-52B1-4884-8049-E95588BBED30}">
  <sheetPr codeName="Sheet4"/>
  <dimension ref="A1:H40"/>
  <sheetViews>
    <sheetView showGridLines="0" zoomScaleNormal="100" workbookViewId="0"/>
  </sheetViews>
  <sheetFormatPr defaultColWidth="0" defaultRowHeight="14.5" zeroHeight="1" x14ac:dyDescent="0.35"/>
  <cols>
    <col min="1" max="1" width="8.7265625" customWidth="1"/>
    <col min="2" max="2" width="12.7265625" style="10" customWidth="1"/>
    <col min="3" max="3" width="7.1796875" style="11" customWidth="1"/>
    <col min="4" max="4" width="51.54296875" bestFit="1" customWidth="1"/>
    <col min="5" max="5" width="13.26953125" style="75" bestFit="1" customWidth="1"/>
    <col min="6" max="6" width="12.1796875" style="75" bestFit="1" customWidth="1"/>
    <col min="7" max="7" width="12.54296875" style="75" bestFit="1" customWidth="1"/>
    <col min="8" max="8" width="8.7265625" customWidth="1"/>
    <col min="9" max="16384" width="8.7265625" hidden="1"/>
  </cols>
  <sheetData>
    <row r="1" spans="2:7" x14ac:dyDescent="0.35">
      <c r="E1" s="76"/>
      <c r="F1" s="76"/>
      <c r="G1" s="76"/>
    </row>
    <row r="2" spans="2:7" ht="15" thickBot="1" x14ac:dyDescent="0.4">
      <c r="B2" s="10" t="s">
        <v>154</v>
      </c>
      <c r="E2" s="76"/>
      <c r="F2" s="76"/>
      <c r="G2" s="76"/>
    </row>
    <row r="3" spans="2:7" ht="15" thickBot="1" x14ac:dyDescent="0.4">
      <c r="B3" s="111" t="s">
        <v>124</v>
      </c>
      <c r="C3" s="112"/>
      <c r="D3" s="112"/>
      <c r="E3" s="112"/>
      <c r="F3" s="112"/>
      <c r="G3" s="113"/>
    </row>
    <row r="4" spans="2:7" ht="42.5" customHeight="1" thickTop="1" thickBot="1" x14ac:dyDescent="0.4">
      <c r="B4" s="117" t="s">
        <v>13</v>
      </c>
      <c r="C4" s="117"/>
      <c r="D4" s="117"/>
      <c r="E4" s="117"/>
      <c r="F4" s="117"/>
      <c r="G4" s="117"/>
    </row>
    <row r="5" spans="2:7" s="16" customFormat="1" ht="15" thickTop="1" x14ac:dyDescent="0.35">
      <c r="B5" s="60" t="s">
        <v>45</v>
      </c>
      <c r="C5" s="61" t="s">
        <v>46</v>
      </c>
      <c r="D5" s="61" t="s">
        <v>48</v>
      </c>
      <c r="E5" s="62" t="s">
        <v>49</v>
      </c>
      <c r="F5" s="62" t="s">
        <v>50</v>
      </c>
      <c r="G5" s="63" t="s">
        <v>51</v>
      </c>
    </row>
    <row r="6" spans="2:7" x14ac:dyDescent="0.35">
      <c r="B6" s="64"/>
      <c r="C6" s="13"/>
      <c r="D6" s="65" t="s">
        <v>125</v>
      </c>
      <c r="E6" s="66"/>
      <c r="F6" s="66"/>
      <c r="G6" s="67">
        <v>0</v>
      </c>
    </row>
    <row r="7" spans="2:7" x14ac:dyDescent="0.35">
      <c r="B7" s="64"/>
      <c r="C7" s="13"/>
      <c r="D7" s="65"/>
      <c r="E7" s="66"/>
      <c r="F7" s="66"/>
      <c r="G7" s="67"/>
    </row>
    <row r="8" spans="2:7" x14ac:dyDescent="0.35">
      <c r="B8" s="64" cm="1">
        <f t="array" ref="B8:F29">_xlfn._xlws.FILTER(_xlfn.CHOOSECOLS(general_journal[], _xlfn.XMATCH(B5:F5, general_journal[#Headers],0,1)), general_journal[Account Name] = B4)</f>
        <v>46023</v>
      </c>
      <c r="C8" s="13" t="str">
        <v>J001</v>
      </c>
      <c r="D8" s="7" t="str">
        <v>Issued ordinary shares (at $1 per share)</v>
      </c>
      <c r="E8" s="68">
        <v>500000</v>
      </c>
      <c r="F8" s="68">
        <v>0</v>
      </c>
      <c r="G8" s="69">
        <f>IF(OR(E8&lt;&gt;0, F8&lt;&gt;0), G6+E8-F8, 0)</f>
        <v>500000</v>
      </c>
    </row>
    <row r="9" spans="2:7" x14ac:dyDescent="0.35">
      <c r="B9" s="64">
        <v>46024</v>
      </c>
      <c r="C9" s="13" t="str">
        <v>J002</v>
      </c>
      <c r="D9" s="7" t="str">
        <v>Legal and professional fees for company establishment</v>
      </c>
      <c r="E9" s="68">
        <v>0</v>
      </c>
      <c r="F9" s="68">
        <v>12000</v>
      </c>
      <c r="G9" s="69">
        <f t="shared" ref="G9:G29" si="0">IF(OR(E9&lt;&gt;0, F9&lt;&gt;0), G8+E9-F9, 0)</f>
        <v>488000</v>
      </c>
    </row>
    <row r="10" spans="2:7" x14ac:dyDescent="0.35">
      <c r="B10" s="64">
        <v>46025</v>
      </c>
      <c r="C10" s="13" t="str">
        <v>J003</v>
      </c>
      <c r="D10" s="7" t="str">
        <v>Purchase of office furniture (5 years)</v>
      </c>
      <c r="E10" s="68">
        <v>0</v>
      </c>
      <c r="F10" s="68">
        <v>24000</v>
      </c>
      <c r="G10" s="69">
        <f t="shared" si="0"/>
        <v>464000</v>
      </c>
    </row>
    <row r="11" spans="2:7" x14ac:dyDescent="0.35">
      <c r="B11" s="64">
        <v>46026</v>
      </c>
      <c r="C11" s="13" t="str">
        <v>J004</v>
      </c>
      <c r="D11" s="7" t="str">
        <v>Purchased computer equipment (3 years)</v>
      </c>
      <c r="E11" s="68">
        <v>0</v>
      </c>
      <c r="F11" s="68">
        <v>30000</v>
      </c>
      <c r="G11" s="69">
        <f t="shared" si="0"/>
        <v>434000</v>
      </c>
    </row>
    <row r="12" spans="2:7" x14ac:dyDescent="0.35">
      <c r="B12" s="64">
        <v>46027</v>
      </c>
      <c r="C12" s="13" t="str">
        <v>J005</v>
      </c>
      <c r="D12" s="7" t="str">
        <v>Office rent for January</v>
      </c>
      <c r="E12" s="68">
        <v>0</v>
      </c>
      <c r="F12" s="68">
        <v>8000</v>
      </c>
      <c r="G12" s="69">
        <f t="shared" si="0"/>
        <v>426000</v>
      </c>
    </row>
    <row r="13" spans="2:7" x14ac:dyDescent="0.35">
      <c r="B13" s="64">
        <v>46028</v>
      </c>
      <c r="C13" s="13" t="str">
        <v>J006</v>
      </c>
      <c r="D13" s="7" t="str">
        <v>12-month insurance policy purchase</v>
      </c>
      <c r="E13" s="68">
        <v>0</v>
      </c>
      <c r="F13" s="68">
        <v>12000</v>
      </c>
      <c r="G13" s="69">
        <f t="shared" si="0"/>
        <v>414000</v>
      </c>
    </row>
    <row r="14" spans="2:7" x14ac:dyDescent="0.35">
      <c r="B14" s="64">
        <v>46029</v>
      </c>
      <c r="C14" s="13" t="str">
        <v>J007</v>
      </c>
      <c r="D14" s="7" t="str">
        <v>Stationary purchase</v>
      </c>
      <c r="E14" s="68">
        <v>0</v>
      </c>
      <c r="F14" s="68">
        <v>1800</v>
      </c>
      <c r="G14" s="69">
        <f t="shared" si="0"/>
        <v>412200</v>
      </c>
    </row>
    <row r="15" spans="2:7" x14ac:dyDescent="0.35">
      <c r="B15" s="64">
        <v>46031</v>
      </c>
      <c r="C15" s="13" t="str">
        <v>J009</v>
      </c>
      <c r="D15" s="7" t="str">
        <v>Frieght and handling costs</v>
      </c>
      <c r="E15" s="68">
        <v>0</v>
      </c>
      <c r="F15" s="68">
        <v>3000</v>
      </c>
      <c r="G15" s="69">
        <f t="shared" si="0"/>
        <v>409200</v>
      </c>
    </row>
    <row r="16" spans="2:7" x14ac:dyDescent="0.35">
      <c r="B16" s="64">
        <v>46032</v>
      </c>
      <c r="C16" s="13" t="str">
        <v>J010</v>
      </c>
      <c r="D16" s="7" t="str">
        <v>Inventory purchase from Beta Distribution</v>
      </c>
      <c r="E16" s="68">
        <v>0</v>
      </c>
      <c r="F16" s="68">
        <v>60000</v>
      </c>
      <c r="G16" s="69">
        <f t="shared" si="0"/>
        <v>349200</v>
      </c>
    </row>
    <row r="17" spans="2:7" x14ac:dyDescent="0.35">
      <c r="B17" s="64">
        <v>46036</v>
      </c>
      <c r="C17" s="13" t="str">
        <v>J014</v>
      </c>
      <c r="D17" s="7" t="str">
        <v>Made cash sale</v>
      </c>
      <c r="E17" s="68">
        <v>55000</v>
      </c>
      <c r="F17" s="68">
        <v>0</v>
      </c>
      <c r="G17" s="69">
        <f t="shared" si="0"/>
        <v>404200</v>
      </c>
    </row>
    <row r="18" spans="2:7" x14ac:dyDescent="0.35">
      <c r="B18" s="64">
        <v>46040</v>
      </c>
      <c r="C18" s="13" t="str">
        <v>J019</v>
      </c>
      <c r="D18" s="7" t="str">
        <v>Paid part of the outstanding amount to Alpha Supplies</v>
      </c>
      <c r="E18" s="68">
        <v>0</v>
      </c>
      <c r="F18" s="68">
        <v>40000</v>
      </c>
      <c r="G18" s="69">
        <f t="shared" si="0"/>
        <v>364200</v>
      </c>
    </row>
    <row r="19" spans="2:7" x14ac:dyDescent="0.35">
      <c r="B19" s="64">
        <v>46042</v>
      </c>
      <c r="C19" s="13" t="str">
        <v>J020</v>
      </c>
      <c r="D19" s="7" t="str">
        <v>Part of balance paid by Customer A</v>
      </c>
      <c r="E19" s="68">
        <v>70000</v>
      </c>
      <c r="F19" s="68">
        <v>0</v>
      </c>
      <c r="G19" s="69">
        <f t="shared" si="0"/>
        <v>434200</v>
      </c>
    </row>
    <row r="20" spans="2:7" x14ac:dyDescent="0.35">
      <c r="B20" s="64">
        <v>46044</v>
      </c>
      <c r="C20" s="13" t="str">
        <v>J023</v>
      </c>
      <c r="D20" s="7" t="str">
        <v>Three-year bank loan</v>
      </c>
      <c r="E20" s="68">
        <v>150000</v>
      </c>
      <c r="F20" s="68">
        <v>0</v>
      </c>
      <c r="G20" s="69">
        <f t="shared" si="0"/>
        <v>584200</v>
      </c>
    </row>
    <row r="21" spans="2:7" x14ac:dyDescent="0.35">
      <c r="B21" s="64">
        <v>46045</v>
      </c>
      <c r="C21" s="13" t="str">
        <v>J024</v>
      </c>
      <c r="D21" s="7" t="str">
        <v>Made cash sale</v>
      </c>
      <c r="E21" s="68">
        <v>80000</v>
      </c>
      <c r="F21" s="68">
        <v>0</v>
      </c>
      <c r="G21" s="69">
        <f t="shared" si="0"/>
        <v>664200</v>
      </c>
    </row>
    <row r="22" spans="2:7" x14ac:dyDescent="0.35">
      <c r="B22" s="64">
        <v>46046</v>
      </c>
      <c r="C22" s="13" t="str">
        <v>J026</v>
      </c>
      <c r="D22" s="7" t="str">
        <v>Arrangement fees</v>
      </c>
      <c r="E22" s="68">
        <v>0</v>
      </c>
      <c r="F22" s="68">
        <v>2000</v>
      </c>
      <c r="G22" s="69">
        <f t="shared" si="0"/>
        <v>662200</v>
      </c>
    </row>
    <row r="23" spans="2:7" x14ac:dyDescent="0.35">
      <c r="B23" s="64">
        <v>46048</v>
      </c>
      <c r="C23" s="13" t="str">
        <v>J029</v>
      </c>
      <c r="D23" s="7" t="str">
        <v>Employee salaries for January</v>
      </c>
      <c r="E23" s="68">
        <v>0</v>
      </c>
      <c r="F23" s="68">
        <v>18000</v>
      </c>
      <c r="G23" s="69">
        <f t="shared" si="0"/>
        <v>644200</v>
      </c>
    </row>
    <row r="24" spans="2:7" x14ac:dyDescent="0.35">
      <c r="B24" s="64">
        <v>46049</v>
      </c>
      <c r="C24" s="13" t="str">
        <v>J030</v>
      </c>
      <c r="D24" s="7" t="str">
        <v>Part of balance paid by Customer B</v>
      </c>
      <c r="E24" s="68">
        <v>90000</v>
      </c>
      <c r="F24" s="68">
        <v>0</v>
      </c>
      <c r="G24" s="69">
        <f t="shared" si="0"/>
        <v>734200</v>
      </c>
    </row>
    <row r="25" spans="2:7" x14ac:dyDescent="0.35">
      <c r="B25" s="64">
        <v>46050</v>
      </c>
      <c r="C25" s="13" t="str">
        <v>J031</v>
      </c>
      <c r="D25" s="7" t="str">
        <v>Advertising expens</v>
      </c>
      <c r="E25" s="68">
        <v>0</v>
      </c>
      <c r="F25" s="68">
        <v>5000</v>
      </c>
      <c r="G25" s="69">
        <f t="shared" si="0"/>
        <v>729200</v>
      </c>
    </row>
    <row r="26" spans="2:7" x14ac:dyDescent="0.35">
      <c r="B26" s="64">
        <v>46051</v>
      </c>
      <c r="C26" s="13" t="str">
        <v>J032</v>
      </c>
      <c r="D26" s="7" t="str">
        <v>Received advance amount from Customer D for February sales</v>
      </c>
      <c r="E26" s="68">
        <v>30000</v>
      </c>
      <c r="F26" s="68">
        <v>0</v>
      </c>
      <c r="G26" s="69">
        <f t="shared" si="0"/>
        <v>759200</v>
      </c>
    </row>
    <row r="27" spans="2:7" x14ac:dyDescent="0.35">
      <c r="B27" s="64">
        <v>46051</v>
      </c>
      <c r="C27" s="13" t="str">
        <v>J033</v>
      </c>
      <c r="D27" s="7" t="str">
        <v>Electricity and utilities</v>
      </c>
      <c r="E27" s="68">
        <v>0</v>
      </c>
      <c r="F27" s="68">
        <v>4500</v>
      </c>
      <c r="G27" s="69">
        <f t="shared" si="0"/>
        <v>754700</v>
      </c>
    </row>
    <row r="28" spans="2:7" x14ac:dyDescent="0.35">
      <c r="B28" s="64">
        <v>46052</v>
      </c>
      <c r="C28" s="13" t="str">
        <v>J034</v>
      </c>
      <c r="D28" s="7" t="str">
        <v>Bank charges</v>
      </c>
      <c r="E28" s="68">
        <v>0</v>
      </c>
      <c r="F28" s="68">
        <v>2000</v>
      </c>
      <c r="G28" s="69">
        <f t="shared" si="0"/>
        <v>752700</v>
      </c>
    </row>
    <row r="29" spans="2:7" x14ac:dyDescent="0.35">
      <c r="B29" s="64">
        <v>46053</v>
      </c>
      <c r="C29" s="13" t="str">
        <v>J035</v>
      </c>
      <c r="D29" s="7" t="str">
        <v>Fees for accounting and reporting work</v>
      </c>
      <c r="E29" s="68">
        <v>0</v>
      </c>
      <c r="F29" s="68">
        <v>6000</v>
      </c>
      <c r="G29" s="69">
        <f t="shared" si="0"/>
        <v>746700</v>
      </c>
    </row>
    <row r="30" spans="2:7" x14ac:dyDescent="0.35">
      <c r="B30" s="64"/>
      <c r="C30" s="13"/>
      <c r="D30" s="7"/>
      <c r="E30" s="68"/>
      <c r="F30" s="68"/>
      <c r="G30" s="69"/>
    </row>
    <row r="31" spans="2:7" x14ac:dyDescent="0.35">
      <c r="B31" s="64"/>
      <c r="C31" s="13"/>
      <c r="D31" s="7"/>
      <c r="E31" s="68"/>
      <c r="F31" s="68"/>
      <c r="G31" s="69"/>
    </row>
    <row r="32" spans="2:7" ht="15" thickBot="1" x14ac:dyDescent="0.4">
      <c r="B32" s="70"/>
      <c r="C32" s="71"/>
      <c r="D32" s="72" t="s">
        <v>126</v>
      </c>
      <c r="E32" s="73"/>
      <c r="F32" s="73"/>
      <c r="G32" s="74" cm="1">
        <f t="array" ref="G32">SUM(E8:E29, -F8:F29)</f>
        <v>746700</v>
      </c>
    </row>
    <row r="33" x14ac:dyDescent="0.35"/>
    <row r="34" x14ac:dyDescent="0.35"/>
    <row r="35" x14ac:dyDescent="0.35"/>
    <row r="36" x14ac:dyDescent="0.35"/>
    <row r="37" x14ac:dyDescent="0.35"/>
    <row r="38" x14ac:dyDescent="0.35"/>
    <row r="39" x14ac:dyDescent="0.35"/>
    <row r="40" x14ac:dyDescent="0.35"/>
  </sheetData>
  <sheetProtection algorithmName="SHA-512" hashValue="naTQIk1N6yC1lDB8M4oxNQpGyt69UPp+Y4kbYz/xbuyKXZvCyN4YQdbIsnF45yDQYNys6AVobW9P0r+rvi0yRQ==" saltValue="0oLKY7ADGtK5zgt0wqZkCg==" spinCount="100000" sheet="1"/>
  <protectedRanges>
    <protectedRange sqref="B4" name="Dropdown"/>
  </protectedRanges>
  <mergeCells count="2">
    <mergeCell ref="B3:G3"/>
    <mergeCell ref="B4:G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7D0D54-5F3F-4503-9249-65326FFD911F}">
          <x14:formula1>
            <xm:f>'chart_of_accounts'!$C$4:$C$31</xm:f>
          </x14:formula1>
          <xm:sqref>B4:G4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B8EF0-88CF-452B-ADCD-1673357AA951}">
  <sheetPr codeName="Sheet5"/>
  <dimension ref="A1:E1048576"/>
  <sheetViews>
    <sheetView showGridLines="0" zoomScaleNormal="100" workbookViewId="0"/>
  </sheetViews>
  <sheetFormatPr defaultColWidth="0" defaultRowHeight="14.5" zeroHeight="1" x14ac:dyDescent="0.35"/>
  <cols>
    <col min="1" max="1" width="8.7265625" customWidth="1"/>
    <col min="2" max="2" width="32.453125" customWidth="1"/>
    <col min="3" max="4" width="14.81640625" style="22" customWidth="1"/>
    <col min="5" max="5" width="8.7265625" customWidth="1"/>
    <col min="6" max="16384" width="8.7265625" hidden="1"/>
  </cols>
  <sheetData>
    <row r="1" spans="2:4" ht="15" thickBot="1" x14ac:dyDescent="0.4"/>
    <row r="2" spans="2:4" x14ac:dyDescent="0.35">
      <c r="B2" s="118" t="s">
        <v>202</v>
      </c>
      <c r="C2" s="119"/>
      <c r="D2" s="120"/>
    </row>
    <row r="3" spans="2:4" s="16" customFormat="1" x14ac:dyDescent="0.35">
      <c r="B3" s="28" t="s">
        <v>47</v>
      </c>
      <c r="C3" s="29" t="s">
        <v>49</v>
      </c>
      <c r="D3" s="30" t="s">
        <v>50</v>
      </c>
    </row>
    <row r="4" spans="2:4" x14ac:dyDescent="0.35">
      <c r="B4" s="25" t="str">
        <f>chart_of_accounts[[#This Row],[Account name]]</f>
        <v>Furniture &amp; Fixtures</v>
      </c>
      <c r="C4" s="18" cm="1">
        <f t="array" ref="C4">IFERROR(
IF(
SUM(IFERROR(_xlfn._xlws.FILTER(general_journal[Debit], general_journal[Account Name] = B4), 0)) &gt; SUM(IFERROR(_xlfn._xlws.FILTER(general_journal[Credit], general_journal[Account Name] = B4), 0)),
SUM(IFERROR(_xlfn._xlws.FILTER(general_journal[Debit], general_journal[Account Name] = B4), 0)) - SUM(IFERROR(_xlfn._xlws.FILTER(general_journal[Credit], general_journal[Account Name] = B4), 0)),
0 ),
0)</f>
        <v>24000</v>
      </c>
      <c r="D4" s="19" cm="1">
        <f t="array" ref="D4">IFERROR(
IF(
SUM(IFERROR(_xlfn._xlws.FILTER(general_journal[Debit], general_journal[Account Name] = B4), 0)) &lt; SUM(IFERROR(_xlfn._xlws.FILTER(general_journal[Credit], general_journal[Account Name] = B4), 0)),
SUM(IFERROR(_xlfn._xlws.FILTER(general_journal[Credit], general_journal[Account Name] = B4), 0)) - SUM(IFERROR(_xlfn._xlws.FILTER(general_journal[Debit], general_journal[Account Name] = B4), 0)),
0 ),
0)</f>
        <v>0</v>
      </c>
    </row>
    <row r="5" spans="2:4" x14ac:dyDescent="0.35">
      <c r="B5" s="25" t="str">
        <f>chart_of_accounts[[#This Row],[Account name]]</f>
        <v>Computer Equipment</v>
      </c>
      <c r="C5" s="18" cm="1">
        <f t="array" ref="C5">IFERROR(
IF(
SUM(IFERROR(_xlfn._xlws.FILTER(general_journal[Debit], general_journal[Account Name] = B5), 0)) &gt; SUM(IFERROR(_xlfn._xlws.FILTER(general_journal[Credit], general_journal[Account Name] = B5), 0)),
SUM(IFERROR(_xlfn._xlws.FILTER(general_journal[Debit], general_journal[Account Name] = B5), 0)) - SUM(IFERROR(_xlfn._xlws.FILTER(general_journal[Credit], general_journal[Account Name] = B5), 0)),
0 ),
0)</f>
        <v>30000</v>
      </c>
      <c r="D5" s="19" cm="1">
        <f t="array" ref="D5">IFERROR(
IF(
SUM(IFERROR(_xlfn._xlws.FILTER(general_journal[Debit], general_journal[Account Name] = B5), 0)) &lt; SUM(IFERROR(_xlfn._xlws.FILTER(general_journal[Credit], general_journal[Account Name] = B5), 0)),
SUM(IFERROR(_xlfn._xlws.FILTER(general_journal[Credit], general_journal[Account Name] = B5), 0)) - SUM(IFERROR(_xlfn._xlws.FILTER(general_journal[Debit], general_journal[Account Name] = B5), 0)),
0 ),
0)</f>
        <v>0</v>
      </c>
    </row>
    <row r="6" spans="2:4" x14ac:dyDescent="0.35">
      <c r="B6" s="25" t="str">
        <f>chart_of_accounts[[#This Row],[Account name]]</f>
        <v>Accumulated Depreciation – PPE</v>
      </c>
      <c r="C6" s="18" cm="1">
        <f t="array" ref="C6">IFERROR(
IF(
SUM(IFERROR(_xlfn._xlws.FILTER(general_journal[Debit], general_journal[Account Name] = B6), 0)) &gt; SUM(IFERROR(_xlfn._xlws.FILTER(general_journal[Credit], general_journal[Account Name] = B6), 0)),
SUM(IFERROR(_xlfn._xlws.FILTER(general_journal[Debit], general_journal[Account Name] = B6), 0)) - SUM(IFERROR(_xlfn._xlws.FILTER(general_journal[Credit], general_journal[Account Name] = B6), 0)),
0 ),
0)</f>
        <v>0</v>
      </c>
      <c r="D6" s="19" cm="1">
        <f t="array" ref="D6">IFERROR(
IF(
SUM(IFERROR(_xlfn._xlws.FILTER(general_journal[Debit], general_journal[Account Name] = B6), 0)) &lt; SUM(IFERROR(_xlfn._xlws.FILTER(general_journal[Credit], general_journal[Account Name] = B6), 0)),
SUM(IFERROR(_xlfn._xlws.FILTER(general_journal[Credit], general_journal[Account Name] = B6), 0)) - SUM(IFERROR(_xlfn._xlws.FILTER(general_journal[Debit], general_journal[Account Name] = B6), 0)),
0 ),
0)</f>
        <v>1233.3333333333335</v>
      </c>
    </row>
    <row r="7" spans="2:4" x14ac:dyDescent="0.35">
      <c r="B7" s="25" t="str">
        <f>chart_of_accounts[[#This Row],[Account name]]</f>
        <v>Inventory</v>
      </c>
      <c r="C7" s="18" cm="1">
        <f t="array" ref="C7">IFERROR(
IF(
SUM(IFERROR(_xlfn._xlws.FILTER(general_journal[Debit], general_journal[Account Name] = B7), 0)) &gt; SUM(IFERROR(_xlfn._xlws.FILTER(general_journal[Credit], general_journal[Account Name] = B7), 0)),
SUM(IFERROR(_xlfn._xlws.FILTER(general_journal[Debit], general_journal[Account Name] = B7), 0)) - SUM(IFERROR(_xlfn._xlws.FILTER(general_journal[Credit], general_journal[Account Name] = B7), 0)),
0 ),
0)</f>
        <v>74500</v>
      </c>
      <c r="D7" s="19" cm="1">
        <f t="array" ref="D7">IFERROR(
IF(
SUM(IFERROR(_xlfn._xlws.FILTER(general_journal[Debit], general_journal[Account Name] = B7), 0)) &lt; SUM(IFERROR(_xlfn._xlws.FILTER(general_journal[Credit], general_journal[Account Name] = B7), 0)),
SUM(IFERROR(_xlfn._xlws.FILTER(general_journal[Credit], general_journal[Account Name] = B7), 0)) - SUM(IFERROR(_xlfn._xlws.FILTER(general_journal[Debit], general_journal[Account Name] = B7), 0)),
0 ),
0)</f>
        <v>0</v>
      </c>
    </row>
    <row r="8" spans="2:4" x14ac:dyDescent="0.35">
      <c r="B8" s="25" t="str">
        <f>chart_of_accounts[[#This Row],[Account name]]</f>
        <v>Trade Receivables</v>
      </c>
      <c r="C8" s="18" cm="1">
        <f t="array" ref="C8">IFERROR(
IF(
SUM(IFERROR(_xlfn._xlws.FILTER(general_journal[Debit], general_journal[Account Name] = B8), 0)) &gt; SUM(IFERROR(_xlfn._xlws.FILTER(general_journal[Credit], general_journal[Account Name] = B8), 0)),
SUM(IFERROR(_xlfn._xlws.FILTER(general_journal[Debit], general_journal[Account Name] = B8), 0)) - SUM(IFERROR(_xlfn._xlws.FILTER(general_journal[Credit], general_journal[Account Name] = B8), 0)),
0 ),
0)</f>
        <v>223000</v>
      </c>
      <c r="D8" s="19" cm="1">
        <f t="array" ref="D8">IFERROR(
IF(
SUM(IFERROR(_xlfn._xlws.FILTER(general_journal[Debit], general_journal[Account Name] = B8), 0)) &lt; SUM(IFERROR(_xlfn._xlws.FILTER(general_journal[Credit], general_journal[Account Name] = B8), 0)),
SUM(IFERROR(_xlfn._xlws.FILTER(general_journal[Credit], general_journal[Account Name] = B8), 0)) - SUM(IFERROR(_xlfn._xlws.FILTER(general_journal[Debit], general_journal[Account Name] = B8), 0)),
0 ),
0)</f>
        <v>0</v>
      </c>
    </row>
    <row r="9" spans="2:4" x14ac:dyDescent="0.35">
      <c r="B9" s="25" t="str">
        <f>chart_of_accounts[[#This Row],[Account name]]</f>
        <v>Prepayments</v>
      </c>
      <c r="C9" s="18" cm="1">
        <f t="array" ref="C9">IFERROR(
IF(
SUM(IFERROR(_xlfn._xlws.FILTER(general_journal[Debit], general_journal[Account Name] = B9), 0)) &gt; SUM(IFERROR(_xlfn._xlws.FILTER(general_journal[Credit], general_journal[Account Name] = B9), 0)),
SUM(IFERROR(_xlfn._xlws.FILTER(general_journal[Debit], general_journal[Account Name] = B9), 0)) - SUM(IFERROR(_xlfn._xlws.FILTER(general_journal[Credit], general_journal[Account Name] = B9), 0)),
0 ),
0)</f>
        <v>11000</v>
      </c>
      <c r="D9" s="19" cm="1">
        <f t="array" ref="D9">IFERROR(
IF(
SUM(IFERROR(_xlfn._xlws.FILTER(general_journal[Debit], general_journal[Account Name] = B9), 0)) &lt; SUM(IFERROR(_xlfn._xlws.FILTER(general_journal[Credit], general_journal[Account Name] = B9), 0)),
SUM(IFERROR(_xlfn._xlws.FILTER(general_journal[Credit], general_journal[Account Name] = B9), 0)) - SUM(IFERROR(_xlfn._xlws.FILTER(general_journal[Debit], general_journal[Account Name] = B9), 0)),
0 ),
0)</f>
        <v>0</v>
      </c>
    </row>
    <row r="10" spans="2:4" x14ac:dyDescent="0.35">
      <c r="B10" s="25" t="str">
        <f>chart_of_accounts[[#This Row],[Account name]]</f>
        <v>Bank</v>
      </c>
      <c r="C10" s="18" cm="1">
        <f t="array" ref="C10">IFERROR(
IF(
SUM(IFERROR(_xlfn._xlws.FILTER(general_journal[Debit], general_journal[Account Name] = B10), 0)) &gt; SUM(IFERROR(_xlfn._xlws.FILTER(general_journal[Credit], general_journal[Account Name] = B10), 0)),
SUM(IFERROR(_xlfn._xlws.FILTER(general_journal[Debit], general_journal[Account Name] = B10), 0)) - SUM(IFERROR(_xlfn._xlws.FILTER(general_journal[Credit], general_journal[Account Name] = B10), 0)),
0 ),
0)</f>
        <v>746700</v>
      </c>
      <c r="D10" s="19" cm="1">
        <f t="array" ref="D10">IFERROR(
IF(
SUM(IFERROR(_xlfn._xlws.FILTER(general_journal[Debit], general_journal[Account Name] = B10), 0)) &lt; SUM(IFERROR(_xlfn._xlws.FILTER(general_journal[Credit], general_journal[Account Name] = B10), 0)),
SUM(IFERROR(_xlfn._xlws.FILTER(general_journal[Credit], general_journal[Account Name] = B10), 0)) - SUM(IFERROR(_xlfn._xlws.FILTER(general_journal[Debit], general_journal[Account Name] = B10), 0)),
0 ),
0)</f>
        <v>0</v>
      </c>
    </row>
    <row r="11" spans="2:4" x14ac:dyDescent="0.35">
      <c r="B11" s="25" t="str">
        <f>chart_of_accounts[[#This Row],[Account name]]</f>
        <v>Ordinary Share Capital</v>
      </c>
      <c r="C11" s="18" cm="1">
        <f t="array" ref="C11">IFERROR(
IF(
SUM(IFERROR(_xlfn._xlws.FILTER(general_journal[Debit], general_journal[Account Name] = B11), 0)) &gt; SUM(IFERROR(_xlfn._xlws.FILTER(general_journal[Credit], general_journal[Account Name] = B11), 0)),
SUM(IFERROR(_xlfn._xlws.FILTER(general_journal[Debit], general_journal[Account Name] = B11), 0)) - SUM(IFERROR(_xlfn._xlws.FILTER(general_journal[Credit], general_journal[Account Name] = B11), 0)),
0 ),
0)</f>
        <v>0</v>
      </c>
      <c r="D11" s="19" cm="1">
        <f t="array" ref="D11">IFERROR(
IF(
SUM(IFERROR(_xlfn._xlws.FILTER(general_journal[Debit], general_journal[Account Name] = B11), 0)) &lt; SUM(IFERROR(_xlfn._xlws.FILTER(general_journal[Credit], general_journal[Account Name] = B11), 0)),
SUM(IFERROR(_xlfn._xlws.FILTER(general_journal[Credit], general_journal[Account Name] = B11), 0)) - SUM(IFERROR(_xlfn._xlws.FILTER(general_journal[Debit], general_journal[Account Name] = B11), 0)),
0 ),
0)</f>
        <v>500000</v>
      </c>
    </row>
    <row r="12" spans="2:4" x14ac:dyDescent="0.35">
      <c r="B12" s="25" t="str">
        <f>chart_of_accounts[[#This Row],[Account name]]</f>
        <v>Retained Earnings</v>
      </c>
      <c r="C12" s="18" cm="1">
        <f t="array" ref="C12">IFERROR(
IF(
SUM(IFERROR(_xlfn._xlws.FILTER(general_journal[Debit], general_journal[Account Name] = B12), 0)) &gt; SUM(IFERROR(_xlfn._xlws.FILTER(general_journal[Credit], general_journal[Account Name] = B12), 0)),
SUM(IFERROR(_xlfn._xlws.FILTER(general_journal[Debit], general_journal[Account Name] = B12), 0)) - SUM(IFERROR(_xlfn._xlws.FILTER(general_journal[Credit], general_journal[Account Name] = B12), 0)),
0 ),
0)</f>
        <v>0</v>
      </c>
      <c r="D12" s="19" cm="1">
        <f t="array" ref="D12">IFERROR(
IF(
SUM(IFERROR(_xlfn._xlws.FILTER(general_journal[Debit], general_journal[Account Name] = B12), 0)) &lt; SUM(IFERROR(_xlfn._xlws.FILTER(general_journal[Credit], general_journal[Account Name] = B12), 0)),
SUM(IFERROR(_xlfn._xlws.FILTER(general_journal[Credit], general_journal[Account Name] = B12), 0)) - SUM(IFERROR(_xlfn._xlws.FILTER(general_journal[Debit], general_journal[Account Name] = B12), 0)),
0 ),
0)</f>
        <v>0</v>
      </c>
    </row>
    <row r="13" spans="2:4" x14ac:dyDescent="0.35">
      <c r="B13" s="25" t="str">
        <f>chart_of_accounts[[#This Row],[Account name]]</f>
        <v>Bank Loan</v>
      </c>
      <c r="C13" s="18" cm="1">
        <f t="array" ref="C13">IFERROR(
IF(
SUM(IFERROR(_xlfn._xlws.FILTER(general_journal[Debit], general_journal[Account Name] = B13), 0)) &gt; SUM(IFERROR(_xlfn._xlws.FILTER(general_journal[Credit], general_journal[Account Name] = B13), 0)),
SUM(IFERROR(_xlfn._xlws.FILTER(general_journal[Debit], general_journal[Account Name] = B13), 0)) - SUM(IFERROR(_xlfn._xlws.FILTER(general_journal[Credit], general_journal[Account Name] = B13), 0)),
0 ),
0)</f>
        <v>0</v>
      </c>
      <c r="D13" s="19" cm="1">
        <f t="array" ref="D13">IFERROR(
IF(
SUM(IFERROR(_xlfn._xlws.FILTER(general_journal[Debit], general_journal[Account Name] = B13), 0)) &lt; SUM(IFERROR(_xlfn._xlws.FILTER(general_journal[Credit], general_journal[Account Name] = B13), 0)),
SUM(IFERROR(_xlfn._xlws.FILTER(general_journal[Credit], general_journal[Account Name] = B13), 0)) - SUM(IFERROR(_xlfn._xlws.FILTER(general_journal[Debit], general_journal[Account Name] = B13), 0)),
0 ),
0)</f>
        <v>149000</v>
      </c>
    </row>
    <row r="14" spans="2:4" x14ac:dyDescent="0.35">
      <c r="B14" s="25" t="str">
        <f>chart_of_accounts[[#This Row],[Account name]]</f>
        <v>Trade Payables</v>
      </c>
      <c r="C14" s="18" cm="1">
        <f t="array" ref="C14">IFERROR(
IF(
SUM(IFERROR(_xlfn._xlws.FILTER(general_journal[Debit], general_journal[Account Name] = B14), 0)) &gt; SUM(IFERROR(_xlfn._xlws.FILTER(general_journal[Credit], general_journal[Account Name] = B14), 0)),
SUM(IFERROR(_xlfn._xlws.FILTER(general_journal[Debit], general_journal[Account Name] = B14), 0)) - SUM(IFERROR(_xlfn._xlws.FILTER(general_journal[Credit], general_journal[Account Name] = B14), 0)),
0 ),
0)</f>
        <v>0</v>
      </c>
      <c r="D14" s="19" cm="1">
        <f t="array" ref="D14">IFERROR(
IF(
SUM(IFERROR(_xlfn._xlws.FILTER(general_journal[Debit], general_journal[Account Name] = B14), 0)) &lt; SUM(IFERROR(_xlfn._xlws.FILTER(general_journal[Credit], general_journal[Account Name] = B14), 0)),
SUM(IFERROR(_xlfn._xlws.FILTER(general_journal[Credit], general_journal[Account Name] = B14), 0)) - SUM(IFERROR(_xlfn._xlws.FILTER(general_journal[Debit], general_journal[Account Name] = B14), 0)),
0 ),
0)</f>
        <v>271000</v>
      </c>
    </row>
    <row r="15" spans="2:4" x14ac:dyDescent="0.35">
      <c r="B15" s="25" t="str">
        <f>chart_of_accounts[[#This Row],[Account name]]</f>
        <v>Accrued Expenses</v>
      </c>
      <c r="C15" s="18" cm="1">
        <f t="array" ref="C15">IFERROR(
IF(
SUM(IFERROR(_xlfn._xlws.FILTER(general_journal[Debit], general_journal[Account Name] = B15), 0)) &gt; SUM(IFERROR(_xlfn._xlws.FILTER(general_journal[Credit], general_journal[Account Name] = B15), 0)),
SUM(IFERROR(_xlfn._xlws.FILTER(general_journal[Debit], general_journal[Account Name] = B15), 0)) - SUM(IFERROR(_xlfn._xlws.FILTER(general_journal[Credit], general_journal[Account Name] = B15), 0)),
0 ),
0)</f>
        <v>0</v>
      </c>
      <c r="D15" s="19" cm="1">
        <f t="array" ref="D15">IFERROR(
IF(
SUM(IFERROR(_xlfn._xlws.FILTER(general_journal[Debit], general_journal[Account Name] = B15), 0)) &lt; SUM(IFERROR(_xlfn._xlws.FILTER(general_journal[Credit], general_journal[Account Name] = B15), 0)),
SUM(IFERROR(_xlfn._xlws.FILTER(general_journal[Credit], general_journal[Account Name] = B15), 0)) - SUM(IFERROR(_xlfn._xlws.FILTER(general_journal[Debit], general_journal[Account Name] = B15), 0)),
0 ),
0)</f>
        <v>3700</v>
      </c>
    </row>
    <row r="16" spans="2:4" x14ac:dyDescent="0.35">
      <c r="B16" s="25" t="str">
        <f>chart_of_accounts[[#This Row],[Account name]]</f>
        <v>Prepaid Income</v>
      </c>
      <c r="C16" s="18" cm="1">
        <f t="array" ref="C16">IFERROR(
IF(
SUM(IFERROR(_xlfn._xlws.FILTER(general_journal[Debit], general_journal[Account Name] = B16), 0)) &gt; SUM(IFERROR(_xlfn._xlws.FILTER(general_journal[Credit], general_journal[Account Name] = B16), 0)),
SUM(IFERROR(_xlfn._xlws.FILTER(general_journal[Debit], general_journal[Account Name] = B16), 0)) - SUM(IFERROR(_xlfn._xlws.FILTER(general_journal[Credit], general_journal[Account Name] = B16), 0)),
0 ),
0)</f>
        <v>0</v>
      </c>
      <c r="D16" s="19" cm="1">
        <f t="array" ref="D16">IFERROR(
IF(
SUM(IFERROR(_xlfn._xlws.FILTER(general_journal[Debit], general_journal[Account Name] = B16), 0)) &lt; SUM(IFERROR(_xlfn._xlws.FILTER(general_journal[Credit], general_journal[Account Name] = B16), 0)),
SUM(IFERROR(_xlfn._xlws.FILTER(general_journal[Credit], general_journal[Account Name] = B16), 0)) - SUM(IFERROR(_xlfn._xlws.FILTER(general_journal[Debit], general_journal[Account Name] = B16), 0)),
0 ),
0)</f>
        <v>30000</v>
      </c>
    </row>
    <row r="17" spans="2:4" x14ac:dyDescent="0.35">
      <c r="B17" s="25" t="str">
        <f>chart_of_accounts[[#This Row],[Account name]]</f>
        <v>Income Tax Payable</v>
      </c>
      <c r="C17" s="18" cm="1">
        <f t="array" ref="C17">IFERROR(
IF(
SUM(IFERROR(_xlfn._xlws.FILTER(general_journal[Debit], general_journal[Account Name] = B17), 0)) &gt; SUM(IFERROR(_xlfn._xlws.FILTER(general_journal[Credit], general_journal[Account Name] = B17), 0)),
SUM(IFERROR(_xlfn._xlws.FILTER(general_journal[Debit], general_journal[Account Name] = B17), 0)) - SUM(IFERROR(_xlfn._xlws.FILTER(general_journal[Credit], general_journal[Account Name] = B17), 0)),
0 ),
0)</f>
        <v>0</v>
      </c>
      <c r="D17" s="19" cm="1">
        <f t="array" ref="D17">IFERROR(
IF(
SUM(IFERROR(_xlfn._xlws.FILTER(general_journal[Debit], general_journal[Account Name] = B17), 0)) &lt; SUM(IFERROR(_xlfn._xlws.FILTER(general_journal[Credit], general_journal[Account Name] = B17), 0)),
SUM(IFERROR(_xlfn._xlws.FILTER(general_journal[Credit], general_journal[Account Name] = B17), 0)) - SUM(IFERROR(_xlfn._xlws.FILTER(general_journal[Debit], general_journal[Account Name] = B17), 0)),
0 ),
0)</f>
        <v>45000</v>
      </c>
    </row>
    <row r="18" spans="2:4" x14ac:dyDescent="0.35">
      <c r="B18" s="25" t="str">
        <f>chart_of_accounts[[#This Row],[Account name]]</f>
        <v>Revenue – Sale of Goods</v>
      </c>
      <c r="C18" s="18" cm="1">
        <f t="array" ref="C18">IFERROR(
IF(
SUM(IFERROR(_xlfn._xlws.FILTER(general_journal[Debit], general_journal[Account Name] = B18), 0)) &gt; SUM(IFERROR(_xlfn._xlws.FILTER(general_journal[Credit], general_journal[Account Name] = B18), 0)),
SUM(IFERROR(_xlfn._xlws.FILTER(general_journal[Debit], general_journal[Account Name] = B18), 0)) - SUM(IFERROR(_xlfn._xlws.FILTER(general_journal[Credit], general_journal[Account Name] = B18), 0)),
0 ),
0)</f>
        <v>0</v>
      </c>
      <c r="D18" s="19" cm="1">
        <f t="array" ref="D18">IFERROR(
IF(
SUM(IFERROR(_xlfn._xlws.FILTER(general_journal[Debit], general_journal[Account Name] = B18), 0)) &lt; SUM(IFERROR(_xlfn._xlws.FILTER(general_journal[Credit], general_journal[Account Name] = B18), 0)),
SUM(IFERROR(_xlfn._xlws.FILTER(general_journal[Credit], general_journal[Account Name] = B18), 0)) - SUM(IFERROR(_xlfn._xlws.FILTER(general_journal[Debit], general_journal[Account Name] = B18), 0)),
0 ),
0)</f>
        <v>530000</v>
      </c>
    </row>
    <row r="19" spans="2:4" x14ac:dyDescent="0.35">
      <c r="B19" s="25" t="str">
        <f>chart_of_accounts[[#This Row],[Account name]]</f>
        <v>Sales Returns</v>
      </c>
      <c r="C19" s="18" cm="1">
        <f t="array" ref="C19">IFERROR(
IF(
SUM(IFERROR(_xlfn._xlws.FILTER(general_journal[Debit], general_journal[Account Name] = B19), 0)) &gt; SUM(IFERROR(_xlfn._xlws.FILTER(general_journal[Credit], general_journal[Account Name] = B19), 0)),
SUM(IFERROR(_xlfn._xlws.FILTER(general_journal[Debit], general_journal[Account Name] = B19), 0)) - SUM(IFERROR(_xlfn._xlws.FILTER(general_journal[Credit], general_journal[Account Name] = B19), 0)),
0 ),
0)</f>
        <v>12000</v>
      </c>
      <c r="D19" s="19" cm="1">
        <f t="array" ref="D19">IFERROR(
IF(
SUM(IFERROR(_xlfn._xlws.FILTER(general_journal[Debit], general_journal[Account Name] = B19), 0)) &lt; SUM(IFERROR(_xlfn._xlws.FILTER(general_journal[Credit], general_journal[Account Name] = B19), 0)),
SUM(IFERROR(_xlfn._xlws.FILTER(general_journal[Credit], general_journal[Account Name] = B19), 0)) - SUM(IFERROR(_xlfn._xlws.FILTER(general_journal[Debit], general_journal[Account Name] = B19), 0)),
0 ),
0)</f>
        <v>0</v>
      </c>
    </row>
    <row r="20" spans="2:4" x14ac:dyDescent="0.35">
      <c r="B20" s="25" t="str">
        <f>chart_of_accounts[[#This Row],[Account name]]</f>
        <v>Cost of Sales</v>
      </c>
      <c r="C20" s="18" cm="1">
        <f t="array" ref="C20">IFERROR(
IF(
SUM(IFERROR(_xlfn._xlws.FILTER(general_journal[Debit], general_journal[Account Name] = B20), 0)) &gt; SUM(IFERROR(_xlfn._xlws.FILTER(general_journal[Credit], general_journal[Account Name] = B20), 0)),
SUM(IFERROR(_xlfn._xlws.FILTER(general_journal[Debit], general_journal[Account Name] = B20), 0)) - SUM(IFERROR(_xlfn._xlws.FILTER(general_journal[Credit], general_journal[Account Name] = B20), 0)),
0 ),
0)</f>
        <v>298000</v>
      </c>
      <c r="D20" s="19" cm="1">
        <f t="array" ref="D20">IFERROR(
IF(
SUM(IFERROR(_xlfn._xlws.FILTER(general_journal[Debit], general_journal[Account Name] = B20), 0)) &lt; SUM(IFERROR(_xlfn._xlws.FILTER(general_journal[Credit], general_journal[Account Name] = B20), 0)),
SUM(IFERROR(_xlfn._xlws.FILTER(general_journal[Credit], general_journal[Account Name] = B20), 0)) - SUM(IFERROR(_xlfn._xlws.FILTER(general_journal[Debit], general_journal[Account Name] = B20), 0)),
0 ),
0)</f>
        <v>0</v>
      </c>
    </row>
    <row r="21" spans="2:4" x14ac:dyDescent="0.35">
      <c r="B21" s="25" t="str">
        <f>chart_of_accounts[[#This Row],[Account name]]</f>
        <v>Inventory Write-down</v>
      </c>
      <c r="C21" s="18" cm="1">
        <f t="array" ref="C21">IFERROR(
IF(
SUM(IFERROR(_xlfn._xlws.FILTER(general_journal[Debit], general_journal[Account Name] = B21), 0)) &gt; SUM(IFERROR(_xlfn._xlws.FILTER(general_journal[Credit], general_journal[Account Name] = B21), 0)),
SUM(IFERROR(_xlfn._xlws.FILTER(general_journal[Debit], general_journal[Account Name] = B21), 0)) - SUM(IFERROR(_xlfn._xlws.FILTER(general_journal[Credit], general_journal[Account Name] = B21), 0)),
0 ),
0)</f>
        <v>1500</v>
      </c>
      <c r="D21" s="19" cm="1">
        <f t="array" ref="D21">IFERROR(
IF(
SUM(IFERROR(_xlfn._xlws.FILTER(general_journal[Debit], general_journal[Account Name] = B21), 0)) &lt; SUM(IFERROR(_xlfn._xlws.FILTER(general_journal[Credit], general_journal[Account Name] = B21), 0)),
SUM(IFERROR(_xlfn._xlws.FILTER(general_journal[Credit], general_journal[Account Name] = B21), 0)) - SUM(IFERROR(_xlfn._xlws.FILTER(general_journal[Debit], general_journal[Account Name] = B21), 0)),
0 ),
0)</f>
        <v>0</v>
      </c>
    </row>
    <row r="22" spans="2:4" x14ac:dyDescent="0.35">
      <c r="B22" s="25" t="str">
        <f>chart_of_accounts[[#This Row],[Account name]]</f>
        <v>Salaries &amp; Wages</v>
      </c>
      <c r="C22" s="18" cm="1">
        <f t="array" ref="C22">IFERROR(
IF(
SUM(IFERROR(_xlfn._xlws.FILTER(general_journal[Debit], general_journal[Account Name] = B22), 0)) &gt; SUM(IFERROR(_xlfn._xlws.FILTER(general_journal[Credit], general_journal[Account Name] = B22), 0)),
SUM(IFERROR(_xlfn._xlws.FILTER(general_journal[Debit], general_journal[Account Name] = B22), 0)) - SUM(IFERROR(_xlfn._xlws.FILTER(general_journal[Credit], general_journal[Account Name] = B22), 0)),
0 ),
0)</f>
        <v>20500</v>
      </c>
      <c r="D22" s="19" cm="1">
        <f t="array" ref="D22">IFERROR(
IF(
SUM(IFERROR(_xlfn._xlws.FILTER(general_journal[Debit], general_journal[Account Name] = B22), 0)) &lt; SUM(IFERROR(_xlfn._xlws.FILTER(general_journal[Credit], general_journal[Account Name] = B22), 0)),
SUM(IFERROR(_xlfn._xlws.FILTER(general_journal[Credit], general_journal[Account Name] = B22), 0)) - SUM(IFERROR(_xlfn._xlws.FILTER(general_journal[Debit], general_journal[Account Name] = B22), 0)),
0 ),
0)</f>
        <v>0</v>
      </c>
    </row>
    <row r="23" spans="2:4" x14ac:dyDescent="0.35">
      <c r="B23" s="25" t="str">
        <f>chart_of_accounts[[#This Row],[Account name]]</f>
        <v>Rent Expense</v>
      </c>
      <c r="C23" s="18" cm="1">
        <f t="array" ref="C23">IFERROR(
IF(
SUM(IFERROR(_xlfn._xlws.FILTER(general_journal[Debit], general_journal[Account Name] = B23), 0)) &gt; SUM(IFERROR(_xlfn._xlws.FILTER(general_journal[Credit], general_journal[Account Name] = B23), 0)),
SUM(IFERROR(_xlfn._xlws.FILTER(general_journal[Debit], general_journal[Account Name] = B23), 0)) - SUM(IFERROR(_xlfn._xlws.FILTER(general_journal[Credit], general_journal[Account Name] = B23), 0)),
0 ),
0)</f>
        <v>8000</v>
      </c>
      <c r="D23" s="19" cm="1">
        <f t="array" ref="D23">IFERROR(
IF(
SUM(IFERROR(_xlfn._xlws.FILTER(general_journal[Debit], general_journal[Account Name] = B23), 0)) &lt; SUM(IFERROR(_xlfn._xlws.FILTER(general_journal[Credit], general_journal[Account Name] = B23), 0)),
SUM(IFERROR(_xlfn._xlws.FILTER(general_journal[Credit], general_journal[Account Name] = B23), 0)) - SUM(IFERROR(_xlfn._xlws.FILTER(general_journal[Debit], general_journal[Account Name] = B23), 0)),
0 ),
0)</f>
        <v>0</v>
      </c>
    </row>
    <row r="24" spans="2:4" x14ac:dyDescent="0.35">
      <c r="B24" s="25" t="str">
        <f>chart_of_accounts[[#This Row],[Account name]]</f>
        <v>Insurance Expense</v>
      </c>
      <c r="C24" s="18" cm="1">
        <f t="array" ref="C24">IFERROR(
IF(
SUM(IFERROR(_xlfn._xlws.FILTER(general_journal[Debit], general_journal[Account Name] = B24), 0)) &gt; SUM(IFERROR(_xlfn._xlws.FILTER(general_journal[Credit], general_journal[Account Name] = B24), 0)),
SUM(IFERROR(_xlfn._xlws.FILTER(general_journal[Debit], general_journal[Account Name] = B24), 0)) - SUM(IFERROR(_xlfn._xlws.FILTER(general_journal[Credit], general_journal[Account Name] = B24), 0)),
0 ),
0)</f>
        <v>1000</v>
      </c>
      <c r="D24" s="19" cm="1">
        <f t="array" ref="D24">IFERROR(
IF(
SUM(IFERROR(_xlfn._xlws.FILTER(general_journal[Debit], general_journal[Account Name] = B24), 0)) &lt; SUM(IFERROR(_xlfn._xlws.FILTER(general_journal[Credit], general_journal[Account Name] = B24), 0)),
SUM(IFERROR(_xlfn._xlws.FILTER(general_journal[Credit], general_journal[Account Name] = B24), 0)) - SUM(IFERROR(_xlfn._xlws.FILTER(general_journal[Debit], general_journal[Account Name] = B24), 0)),
0 ),
0)</f>
        <v>0</v>
      </c>
    </row>
    <row r="25" spans="2:4" x14ac:dyDescent="0.35">
      <c r="B25" s="25" t="str">
        <f>chart_of_accounts[[#This Row],[Account name]]</f>
        <v>Advertising Expense</v>
      </c>
      <c r="C25" s="18" cm="1">
        <f t="array" ref="C25">IFERROR(
IF(
SUM(IFERROR(_xlfn._xlws.FILTER(general_journal[Debit], general_journal[Account Name] = B25), 0)) &gt; SUM(IFERROR(_xlfn._xlws.FILTER(general_journal[Credit], general_journal[Account Name] = B25), 0)),
SUM(IFERROR(_xlfn._xlws.FILTER(general_journal[Debit], general_journal[Account Name] = B25), 0)) - SUM(IFERROR(_xlfn._xlws.FILTER(general_journal[Credit], general_journal[Account Name] = B25), 0)),
0 ),
0)</f>
        <v>5000</v>
      </c>
      <c r="D25" s="19" cm="1">
        <f t="array" ref="D25">IFERROR(
IF(
SUM(IFERROR(_xlfn._xlws.FILTER(general_journal[Debit], general_journal[Account Name] = B25), 0)) &lt; SUM(IFERROR(_xlfn._xlws.FILTER(general_journal[Credit], general_journal[Account Name] = B25), 0)),
SUM(IFERROR(_xlfn._xlws.FILTER(general_journal[Credit], general_journal[Account Name] = B25), 0)) - SUM(IFERROR(_xlfn._xlws.FILTER(general_journal[Debit], general_journal[Account Name] = B25), 0)),
0 ),
0)</f>
        <v>0</v>
      </c>
    </row>
    <row r="26" spans="2:4" x14ac:dyDescent="0.35">
      <c r="B26" s="25" t="str">
        <f>chart_of_accounts[[#This Row],[Account name]]</f>
        <v>Utilities Expense</v>
      </c>
      <c r="C26" s="18" cm="1">
        <f t="array" ref="C26">IFERROR(
IF(
SUM(IFERROR(_xlfn._xlws.FILTER(general_journal[Debit], general_journal[Account Name] = B26), 0)) &gt; SUM(IFERROR(_xlfn._xlws.FILTER(general_journal[Credit], general_journal[Account Name] = B26), 0)),
SUM(IFERROR(_xlfn._xlws.FILTER(general_journal[Debit], general_journal[Account Name] = B26), 0)) - SUM(IFERROR(_xlfn._xlws.FILTER(general_journal[Credit], general_journal[Account Name] = B26), 0)),
0 ),
0)</f>
        <v>5700</v>
      </c>
      <c r="D26" s="19" cm="1">
        <f t="array" ref="D26">IFERROR(
IF(
SUM(IFERROR(_xlfn._xlws.FILTER(general_journal[Debit], general_journal[Account Name] = B26), 0)) &lt; SUM(IFERROR(_xlfn._xlws.FILTER(general_journal[Credit], general_journal[Account Name] = B26), 0)),
SUM(IFERROR(_xlfn._xlws.FILTER(general_journal[Credit], general_journal[Account Name] = B26), 0)) - SUM(IFERROR(_xlfn._xlws.FILTER(general_journal[Debit], general_journal[Account Name] = B26), 0)),
0 ),
0)</f>
        <v>0</v>
      </c>
    </row>
    <row r="27" spans="2:4" x14ac:dyDescent="0.35">
      <c r="B27" s="25" t="str">
        <f>chart_of_accounts[[#This Row],[Account name]]</f>
        <v>Stationery Expense</v>
      </c>
      <c r="C27" s="18" cm="1">
        <f t="array" ref="C27">IFERROR(
IF(
SUM(IFERROR(_xlfn._xlws.FILTER(general_journal[Debit], general_journal[Account Name] = B27), 0)) &gt; SUM(IFERROR(_xlfn._xlws.FILTER(general_journal[Credit], general_journal[Account Name] = B27), 0)),
SUM(IFERROR(_xlfn._xlws.FILTER(general_journal[Debit], general_journal[Account Name] = B27), 0)) - SUM(IFERROR(_xlfn._xlws.FILTER(general_journal[Credit], general_journal[Account Name] = B27), 0)),
0 ),
0)</f>
        <v>1800</v>
      </c>
      <c r="D27" s="19" cm="1">
        <f t="array" ref="D27">IFERROR(
IF(
SUM(IFERROR(_xlfn._xlws.FILTER(general_journal[Debit], general_journal[Account Name] = B27), 0)) &lt; SUM(IFERROR(_xlfn._xlws.FILTER(general_journal[Credit], general_journal[Account Name] = B27), 0)),
SUM(IFERROR(_xlfn._xlws.FILTER(general_journal[Credit], general_journal[Account Name] = B27), 0)) - SUM(IFERROR(_xlfn._xlws.FILTER(general_journal[Debit], general_journal[Account Name] = B27), 0)),
0 ),
0)</f>
        <v>0</v>
      </c>
    </row>
    <row r="28" spans="2:4" x14ac:dyDescent="0.35">
      <c r="B28" s="25" t="str">
        <f>chart_of_accounts[[#This Row],[Account name]]</f>
        <v>Professional Fees</v>
      </c>
      <c r="C28" s="18" cm="1">
        <f t="array" ref="C28">IFERROR(
IF(
SUM(IFERROR(_xlfn._xlws.FILTER(general_journal[Debit], general_journal[Account Name] = B28), 0)) &gt; SUM(IFERROR(_xlfn._xlws.FILTER(general_journal[Credit], general_journal[Account Name] = B28), 0)),
SUM(IFERROR(_xlfn._xlws.FILTER(general_journal[Debit], general_journal[Account Name] = B28), 0)) - SUM(IFERROR(_xlfn._xlws.FILTER(general_journal[Credit], general_journal[Account Name] = B28), 0)),
0 ),
0)</f>
        <v>18000</v>
      </c>
      <c r="D28" s="19" cm="1">
        <f t="array" ref="D28">IFERROR(
IF(
SUM(IFERROR(_xlfn._xlws.FILTER(general_journal[Debit], general_journal[Account Name] = B28), 0)) &lt; SUM(IFERROR(_xlfn._xlws.FILTER(general_journal[Credit], general_journal[Account Name] = B28), 0)),
SUM(IFERROR(_xlfn._xlws.FILTER(general_journal[Credit], general_journal[Account Name] = B28), 0)) - SUM(IFERROR(_xlfn._xlws.FILTER(general_journal[Debit], general_journal[Account Name] = B28), 0)),
0 ),
0)</f>
        <v>0</v>
      </c>
    </row>
    <row r="29" spans="2:4" x14ac:dyDescent="0.35">
      <c r="B29" s="25" t="str">
        <f>chart_of_accounts[[#This Row],[Account name]]</f>
        <v>Depreciation Expense</v>
      </c>
      <c r="C29" s="18" cm="1">
        <f t="array" ref="C29">IFERROR(
IF(
SUM(IFERROR(_xlfn._xlws.FILTER(general_journal[Debit], general_journal[Account Name] = B29), 0)) &gt; SUM(IFERROR(_xlfn._xlws.FILTER(general_journal[Credit], general_journal[Account Name] = B29), 0)),
SUM(IFERROR(_xlfn._xlws.FILTER(general_journal[Debit], general_journal[Account Name] = B29), 0)) - SUM(IFERROR(_xlfn._xlws.FILTER(general_journal[Credit], general_journal[Account Name] = B29), 0)),
0 ),
0)</f>
        <v>1233.3333333333335</v>
      </c>
      <c r="D29" s="19" cm="1">
        <f t="array" ref="D29">IFERROR(
IF(
SUM(IFERROR(_xlfn._xlws.FILTER(general_journal[Debit], general_journal[Account Name] = B29), 0)) &lt; SUM(IFERROR(_xlfn._xlws.FILTER(general_journal[Credit], general_journal[Account Name] = B29), 0)),
SUM(IFERROR(_xlfn._xlws.FILTER(general_journal[Credit], general_journal[Account Name] = B29), 0)) - SUM(IFERROR(_xlfn._xlws.FILTER(general_journal[Debit], general_journal[Account Name] = B29), 0)),
0 ),
0)</f>
        <v>0</v>
      </c>
    </row>
    <row r="30" spans="2:4" x14ac:dyDescent="0.35">
      <c r="B30" s="26" t="str">
        <f>chart_of_accounts[[#This Row],[Account name]]</f>
        <v>Bank Charges</v>
      </c>
      <c r="C30" s="18" cm="1">
        <f t="array" ref="C30">IFERROR(
IF(
SUM(IFERROR(_xlfn._xlws.FILTER(general_journal[Debit], general_journal[Account Name] = B30), 0)) &gt; SUM(IFERROR(_xlfn._xlws.FILTER(general_journal[Credit], general_journal[Account Name] = B30), 0)),
SUM(IFERROR(_xlfn._xlws.FILTER(general_journal[Debit], general_journal[Account Name] = B30), 0)) - SUM(IFERROR(_xlfn._xlws.FILTER(general_journal[Credit], general_journal[Account Name] = B30), 0)),
0 ),
0)</f>
        <v>2000</v>
      </c>
      <c r="D30" s="19" cm="1">
        <f t="array" ref="D30">IFERROR(
IF(
SUM(IFERROR(_xlfn._xlws.FILTER(general_journal[Debit], general_journal[Account Name] = B30), 0)) &lt; SUM(IFERROR(_xlfn._xlws.FILTER(general_journal[Credit], general_journal[Account Name] = B30), 0)),
SUM(IFERROR(_xlfn._xlws.FILTER(general_journal[Credit], general_journal[Account Name] = B30), 0)) - SUM(IFERROR(_xlfn._xlws.FILTER(general_journal[Debit], general_journal[Account Name] = B30), 0)),
0 ),
0)</f>
        <v>0</v>
      </c>
    </row>
    <row r="31" spans="2:4" x14ac:dyDescent="0.35">
      <c r="B31" s="23" t="str">
        <f>chart_of_accounts[[#This Row],[Account name]]</f>
        <v>Loan Interest Expense</v>
      </c>
      <c r="C31" s="18" cm="1">
        <f t="array" ref="C31">IFERROR(
IF(
SUM(IFERROR(_xlfn._xlws.FILTER(general_journal[Debit], general_journal[Account Name] = B31), 0)) &gt; SUM(IFERROR(_xlfn._xlws.FILTER(general_journal[Credit], general_journal[Account Name] = B31), 0)),
SUM(IFERROR(_xlfn._xlws.FILTER(general_journal[Debit], general_journal[Account Name] = B31), 0)) - SUM(IFERROR(_xlfn._xlws.FILTER(general_journal[Credit], general_journal[Account Name] = B31), 0)),
0 ),
0)</f>
        <v>1000</v>
      </c>
      <c r="D31" s="19"/>
    </row>
    <row r="32" spans="2:4" x14ac:dyDescent="0.35">
      <c r="B32" s="23" t="str">
        <f>chart_of_accounts[[#This Row],[Account name]]</f>
        <v>Income Tax Expense</v>
      </c>
      <c r="C32" s="18" cm="1">
        <f t="array" ref="C32">IFERROR(
IF(
SUM(IFERROR(_xlfn._xlws.FILTER(general_journal[Debit], general_journal[Account Name] = B32), 0)) &gt; SUM(IFERROR(_xlfn._xlws.FILTER(general_journal[Credit], general_journal[Account Name] = B32), 0)),
SUM(IFERROR(_xlfn._xlws.FILTER(general_journal[Debit], general_journal[Account Name] = B32), 0)) - SUM(IFERROR(_xlfn._xlws.FILTER(general_journal[Credit], general_journal[Account Name] = B32), 0)),
0 ),
0)</f>
        <v>45000</v>
      </c>
      <c r="D32" s="19"/>
    </row>
    <row r="33" spans="2:4" x14ac:dyDescent="0.35">
      <c r="B33" s="23" t="s">
        <v>153</v>
      </c>
      <c r="C33" s="20">
        <f>SUBTOTAL(109,adjusted_trial_balance[Debit])</f>
        <v>1529933.3333333333</v>
      </c>
      <c r="D33" s="21">
        <f>SUBTOTAL(109,adjusted_trial_balance[Credit])</f>
        <v>1529933.3333333333</v>
      </c>
    </row>
    <row r="34" spans="2:4" x14ac:dyDescent="0.35"/>
    <row r="35" spans="2:4" x14ac:dyDescent="0.35"/>
    <row r="1048576" ht="13" hidden="1" customHeight="1" x14ac:dyDescent="0.35"/>
  </sheetData>
  <sheetProtection algorithmName="SHA-512" hashValue="GSn0PubZag7AoS8AefCgeAY4SC/t68ZOyM1zRmcTmEoOmO2qrKLptDeeVhQToEQ/Ev27R/SwwXoWsj1lK1y73w==" saltValue="AmohGT7nUS2/zIkJ9JDw9g==" spinCount="100000" sheet="1" objects="1" scenarios="1"/>
  <mergeCells count="1">
    <mergeCell ref="B2:D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AB578-912C-4891-88B6-7FAB91A76431}">
  <sheetPr codeName="Sheet7"/>
  <dimension ref="A1:I20"/>
  <sheetViews>
    <sheetView showGridLines="0" zoomScaleNormal="100" workbookViewId="0"/>
  </sheetViews>
  <sheetFormatPr defaultColWidth="0" defaultRowHeight="14.5" zeroHeight="1" x14ac:dyDescent="0.35"/>
  <cols>
    <col min="1" max="1" width="8.7265625" customWidth="1"/>
    <col min="2" max="2" width="10.08984375" bestFit="1" customWidth="1"/>
    <col min="3" max="3" width="9.08984375" style="11" customWidth="1"/>
    <col min="4" max="4" width="8.7265625" customWidth="1"/>
    <col min="5" max="5" width="26.36328125" customWidth="1"/>
    <col min="6" max="6" width="33.1796875" customWidth="1"/>
    <col min="7" max="8" width="12.90625" style="50" customWidth="1"/>
    <col min="9" max="9" width="8.7265625" customWidth="1"/>
    <col min="10" max="16384" width="8.7265625" hidden="1"/>
  </cols>
  <sheetData>
    <row r="1" spans="2:8" ht="15" thickBot="1" x14ac:dyDescent="0.4">
      <c r="C1"/>
    </row>
    <row r="2" spans="2:8" ht="15" thickBot="1" x14ac:dyDescent="0.4">
      <c r="B2" s="111" t="s">
        <v>145</v>
      </c>
      <c r="C2" s="112"/>
      <c r="D2" s="112"/>
      <c r="E2" s="112"/>
      <c r="F2" s="112"/>
      <c r="G2" s="112"/>
      <c r="H2" s="113"/>
    </row>
    <row r="3" spans="2:8" x14ac:dyDescent="0.35">
      <c r="B3" s="27" t="s">
        <v>45</v>
      </c>
      <c r="C3" s="12" t="s">
        <v>46</v>
      </c>
      <c r="D3" s="12" t="s">
        <v>1</v>
      </c>
      <c r="E3" s="12" t="s">
        <v>47</v>
      </c>
      <c r="F3" s="12" t="s">
        <v>48</v>
      </c>
      <c r="G3" s="44" t="s">
        <v>49</v>
      </c>
      <c r="H3" s="45" t="s">
        <v>50</v>
      </c>
    </row>
    <row r="4" spans="2:8" x14ac:dyDescent="0.35">
      <c r="B4" s="9">
        <v>46053</v>
      </c>
      <c r="C4" s="13" t="s">
        <v>144</v>
      </c>
      <c r="D4" s="7">
        <f>_xlfn.XLOOKUP(E4, chart_of_accounts[Account name], chart_of_accounts[Code])</f>
        <v>4100</v>
      </c>
      <c r="E4" s="7" t="s">
        <v>24</v>
      </c>
      <c r="F4" s="7" t="s">
        <v>173</v>
      </c>
      <c r="G4" s="46">
        <v>530000</v>
      </c>
      <c r="H4" s="47"/>
    </row>
    <row r="5" spans="2:8" x14ac:dyDescent="0.35">
      <c r="B5" s="9">
        <v>46053</v>
      </c>
      <c r="C5" s="13" t="s">
        <v>144</v>
      </c>
      <c r="D5" s="7">
        <f>_xlfn.XLOOKUP(E5, chart_of_accounts[Account name], chart_of_accounts[Code])</f>
        <v>4300</v>
      </c>
      <c r="E5" s="7" t="s">
        <v>27</v>
      </c>
      <c r="F5" s="7" t="s">
        <v>173</v>
      </c>
      <c r="G5" s="46"/>
      <c r="H5" s="46">
        <f>_xlfn.XLOOKUP(E5, adjusted_trial_balance[Account Name], adjusted_trial_balance[Debit])</f>
        <v>12000</v>
      </c>
    </row>
    <row r="6" spans="2:8" x14ac:dyDescent="0.35">
      <c r="B6" s="9">
        <v>46053</v>
      </c>
      <c r="C6" s="13" t="s">
        <v>144</v>
      </c>
      <c r="D6" s="7">
        <f>_xlfn.XLOOKUP(E6, chart_of_accounts[Account name], chart_of_accounts[Code])</f>
        <v>5100</v>
      </c>
      <c r="E6" s="7" t="s">
        <v>29</v>
      </c>
      <c r="F6" s="7" t="s">
        <v>173</v>
      </c>
      <c r="G6" s="46"/>
      <c r="H6" s="46">
        <f>_xlfn.XLOOKUP(E6, adjusted_trial_balance[Account Name], adjusted_trial_balance[Debit])</f>
        <v>298000</v>
      </c>
    </row>
    <row r="7" spans="2:8" x14ac:dyDescent="0.35">
      <c r="B7" s="9">
        <v>46053</v>
      </c>
      <c r="C7" s="13" t="s">
        <v>144</v>
      </c>
      <c r="D7" s="7">
        <f>_xlfn.XLOOKUP(E7, chart_of_accounts[Account name], chart_of_accounts[Code])</f>
        <v>5200</v>
      </c>
      <c r="E7" s="7" t="s">
        <v>31</v>
      </c>
      <c r="F7" s="7" t="s">
        <v>173</v>
      </c>
      <c r="G7" s="46"/>
      <c r="H7" s="46">
        <f>_xlfn.XLOOKUP(E7, adjusted_trial_balance[Account Name], adjusted_trial_balance[Debit])</f>
        <v>1500</v>
      </c>
    </row>
    <row r="8" spans="2:8" x14ac:dyDescent="0.35">
      <c r="B8" s="9">
        <v>46053</v>
      </c>
      <c r="C8" s="13" t="s">
        <v>144</v>
      </c>
      <c r="D8" s="7">
        <f>_xlfn.XLOOKUP(E8, chart_of_accounts[Account name], chart_of_accounts[Code])</f>
        <v>6100</v>
      </c>
      <c r="E8" s="7" t="s">
        <v>32</v>
      </c>
      <c r="F8" s="7" t="s">
        <v>173</v>
      </c>
      <c r="G8" s="46"/>
      <c r="H8" s="46">
        <f>_xlfn.XLOOKUP(E8, adjusted_trial_balance[Account Name], adjusted_trial_balance[Debit])</f>
        <v>20500</v>
      </c>
    </row>
    <row r="9" spans="2:8" x14ac:dyDescent="0.35">
      <c r="B9" s="9">
        <v>46053</v>
      </c>
      <c r="C9" s="13" t="s">
        <v>144</v>
      </c>
      <c r="D9" s="7">
        <f>_xlfn.XLOOKUP(E9, chart_of_accounts[Account name], chart_of_accounts[Code])</f>
        <v>6200</v>
      </c>
      <c r="E9" s="7" t="s">
        <v>34</v>
      </c>
      <c r="F9" s="7" t="s">
        <v>173</v>
      </c>
      <c r="G9" s="46"/>
      <c r="H9" s="46">
        <f>_xlfn.XLOOKUP(E9, adjusted_trial_balance[Account Name], adjusted_trial_balance[Debit])</f>
        <v>8000</v>
      </c>
    </row>
    <row r="10" spans="2:8" x14ac:dyDescent="0.35">
      <c r="B10" s="9">
        <v>46053</v>
      </c>
      <c r="C10" s="13" t="s">
        <v>144</v>
      </c>
      <c r="D10" s="7">
        <f>_xlfn.XLOOKUP(E10, chart_of_accounts[Account name], chart_of_accounts[Code])</f>
        <v>6300</v>
      </c>
      <c r="E10" s="7" t="s">
        <v>35</v>
      </c>
      <c r="F10" s="7" t="s">
        <v>173</v>
      </c>
      <c r="G10" s="46"/>
      <c r="H10" s="46">
        <f>_xlfn.XLOOKUP(E10, adjusted_trial_balance[Account Name], adjusted_trial_balance[Debit])</f>
        <v>1000</v>
      </c>
    </row>
    <row r="11" spans="2:8" x14ac:dyDescent="0.35">
      <c r="B11" s="9">
        <v>46053</v>
      </c>
      <c r="C11" s="13" t="s">
        <v>144</v>
      </c>
      <c r="D11" s="7">
        <f>_xlfn.XLOOKUP(E11, chart_of_accounts[Account name], chart_of_accounts[Code])</f>
        <v>6400</v>
      </c>
      <c r="E11" s="7" t="s">
        <v>36</v>
      </c>
      <c r="F11" s="7" t="s">
        <v>173</v>
      </c>
      <c r="G11" s="46"/>
      <c r="H11" s="46">
        <f>_xlfn.XLOOKUP(E11, adjusted_trial_balance[Account Name], adjusted_trial_balance[Debit])</f>
        <v>5000</v>
      </c>
    </row>
    <row r="12" spans="2:8" x14ac:dyDescent="0.35">
      <c r="B12" s="9">
        <v>46053</v>
      </c>
      <c r="C12" s="13" t="s">
        <v>144</v>
      </c>
      <c r="D12" s="7">
        <f>_xlfn.XLOOKUP(E12, chart_of_accounts[Account name], chart_of_accounts[Code])</f>
        <v>6500</v>
      </c>
      <c r="E12" s="7" t="s">
        <v>37</v>
      </c>
      <c r="F12" s="7" t="s">
        <v>173</v>
      </c>
      <c r="G12" s="46"/>
      <c r="H12" s="46">
        <f>_xlfn.XLOOKUP(E12, adjusted_trial_balance[Account Name], adjusted_trial_balance[Debit])</f>
        <v>5700</v>
      </c>
    </row>
    <row r="13" spans="2:8" x14ac:dyDescent="0.35">
      <c r="B13" s="9">
        <v>46053</v>
      </c>
      <c r="C13" s="13" t="s">
        <v>144</v>
      </c>
      <c r="D13" s="7">
        <f>_xlfn.XLOOKUP(E13, chart_of_accounts[Account name], chart_of_accounts[Code])</f>
        <v>6600</v>
      </c>
      <c r="E13" s="7" t="s">
        <v>38</v>
      </c>
      <c r="F13" s="7" t="s">
        <v>173</v>
      </c>
      <c r="G13" s="46"/>
      <c r="H13" s="46">
        <f>_xlfn.XLOOKUP(E13, adjusted_trial_balance[Account Name], adjusted_trial_balance[Debit])</f>
        <v>1800</v>
      </c>
    </row>
    <row r="14" spans="2:8" x14ac:dyDescent="0.35">
      <c r="B14" s="9">
        <v>46053</v>
      </c>
      <c r="C14" s="13" t="s">
        <v>144</v>
      </c>
      <c r="D14" s="7">
        <f>_xlfn.XLOOKUP(E14, chart_of_accounts[Account name], chart_of_accounts[Code])</f>
        <v>6700</v>
      </c>
      <c r="E14" s="7" t="s">
        <v>39</v>
      </c>
      <c r="F14" s="7" t="s">
        <v>173</v>
      </c>
      <c r="G14" s="46"/>
      <c r="H14" s="46">
        <f>_xlfn.XLOOKUP(E14, adjusted_trial_balance[Account Name], adjusted_trial_balance[Debit])</f>
        <v>18000</v>
      </c>
    </row>
    <row r="15" spans="2:8" x14ac:dyDescent="0.35">
      <c r="B15" s="9">
        <v>46053</v>
      </c>
      <c r="C15" s="13" t="s">
        <v>144</v>
      </c>
      <c r="D15" s="7">
        <f>_xlfn.XLOOKUP(E15, chart_of_accounts[Account name], chart_of_accounts[Code])</f>
        <v>6800</v>
      </c>
      <c r="E15" s="7" t="s">
        <v>40</v>
      </c>
      <c r="F15" s="7" t="s">
        <v>173</v>
      </c>
      <c r="G15" s="46"/>
      <c r="H15" s="46">
        <f>_xlfn.XLOOKUP(E15, adjusted_trial_balance[Account Name], adjusted_trial_balance[Debit])</f>
        <v>1233.3333333333335</v>
      </c>
    </row>
    <row r="16" spans="2:8" x14ac:dyDescent="0.35">
      <c r="B16" s="9">
        <v>46053</v>
      </c>
      <c r="C16" s="13" t="s">
        <v>144</v>
      </c>
      <c r="D16" s="7">
        <f>_xlfn.XLOOKUP(E16, chart_of_accounts[Account name], chart_of_accounts[Code])</f>
        <v>7100</v>
      </c>
      <c r="E16" s="7" t="s">
        <v>41</v>
      </c>
      <c r="F16" s="7" t="s">
        <v>173</v>
      </c>
      <c r="G16" s="46"/>
      <c r="H16" s="46">
        <f>_xlfn.XLOOKUP(E16, adjusted_trial_balance[Account Name], adjusted_trial_balance[Debit])</f>
        <v>1000</v>
      </c>
    </row>
    <row r="17" spans="2:8" x14ac:dyDescent="0.35">
      <c r="B17" s="9">
        <v>46053</v>
      </c>
      <c r="C17" s="13" t="s">
        <v>144</v>
      </c>
      <c r="D17" s="7">
        <f>_xlfn.XLOOKUP(E17, chart_of_accounts[Account name], chart_of_accounts[Code])</f>
        <v>6900</v>
      </c>
      <c r="E17" s="7" t="s">
        <v>43</v>
      </c>
      <c r="F17" s="7" t="s">
        <v>173</v>
      </c>
      <c r="G17" s="46"/>
      <c r="H17" s="46">
        <f>_xlfn.XLOOKUP(E17, adjusted_trial_balance[Account Name], adjusted_trial_balance[Debit])</f>
        <v>2000</v>
      </c>
    </row>
    <row r="18" spans="2:8" x14ac:dyDescent="0.35">
      <c r="B18" s="9">
        <v>46053</v>
      </c>
      <c r="C18" s="13" t="s">
        <v>144</v>
      </c>
      <c r="D18" s="7">
        <f>_xlfn.XLOOKUP(E18, chart_of_accounts[Account name], chart_of_accounts[Code])</f>
        <v>8100</v>
      </c>
      <c r="E18" s="7" t="s">
        <v>136</v>
      </c>
      <c r="F18" s="7" t="s">
        <v>173</v>
      </c>
      <c r="G18" s="46"/>
      <c r="H18" s="46">
        <f>_xlfn.XLOOKUP(E18, adjusted_trial_balance[Account Name], adjusted_trial_balance[Debit])</f>
        <v>45000</v>
      </c>
    </row>
    <row r="19" spans="2:8" x14ac:dyDescent="0.35">
      <c r="B19" s="14">
        <v>46053</v>
      </c>
      <c r="C19" s="15" t="s">
        <v>144</v>
      </c>
      <c r="D19" s="8">
        <f>_xlfn.XLOOKUP(E19, chart_of_accounts[Account name], chart_of_accounts[Code])</f>
        <v>2200</v>
      </c>
      <c r="E19" s="8" t="s">
        <v>17</v>
      </c>
      <c r="F19" s="7" t="s">
        <v>173</v>
      </c>
      <c r="G19" s="48"/>
      <c r="H19" s="49" cm="1">
        <f t="array" ref="H19">SUM(-H4:H18, G4:G18)</f>
        <v>109266.66666666669</v>
      </c>
    </row>
    <row r="20" spans="2:8" x14ac:dyDescent="0.35"/>
  </sheetData>
  <sheetProtection algorithmName="SHA-512" hashValue="j81bzKML9Hr7FG9/QIGqpHUejj4KCU7rqDsCPtmxTM1itkxpHctr8JUNS6Sdol4JA44RzoUgDaBTy8g41PakkQ==" saltValue="f7ciiBNvCyULgMCuDr2shA==" spinCount="100000" sheet="1"/>
  <mergeCells count="1">
    <mergeCell ref="B2:H2"/>
  </mergeCells>
  <phoneticPr fontId="5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CC6660-412B-47CD-BA35-029724774D33}">
          <x14:formula1>
            <xm:f>'chart_of_accounts'!$C$4:$C$32</xm:f>
          </x14:formula1>
          <xm:sqref>E4:E1048576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06967-9E5C-4C6B-A081-9923E7B930BC}">
  <dimension ref="A1:F35"/>
  <sheetViews>
    <sheetView showGridLines="0" zoomScaleNormal="100" workbookViewId="0"/>
  </sheetViews>
  <sheetFormatPr defaultColWidth="0" defaultRowHeight="14.5" zeroHeight="1" x14ac:dyDescent="0.35"/>
  <cols>
    <col min="1" max="1" width="8.7265625" customWidth="1"/>
    <col min="2" max="2" width="28.36328125" customWidth="1"/>
    <col min="3" max="4" width="14.36328125" style="50" customWidth="1"/>
    <col min="5" max="5" width="8.7265625" customWidth="1"/>
    <col min="6" max="6" width="0" hidden="1" customWidth="1"/>
    <col min="7" max="16384" width="8.7265625" hidden="1"/>
  </cols>
  <sheetData>
    <row r="1" spans="2:4" ht="15" thickBot="1" x14ac:dyDescent="0.4"/>
    <row r="2" spans="2:4" x14ac:dyDescent="0.35">
      <c r="B2" s="118" t="s">
        <v>203</v>
      </c>
      <c r="C2" s="119"/>
      <c r="D2" s="120"/>
    </row>
    <row r="3" spans="2:4" x14ac:dyDescent="0.35">
      <c r="B3" s="28" t="s">
        <v>47</v>
      </c>
      <c r="C3" s="90" t="s">
        <v>49</v>
      </c>
      <c r="D3" s="91" t="s">
        <v>50</v>
      </c>
    </row>
    <row r="4" spans="2:4" x14ac:dyDescent="0.35">
      <c r="B4" s="92" t="str">
        <f>chart_of_accounts[[#This Row],[Account name]]</f>
        <v>Furniture &amp; Fixtures</v>
      </c>
      <c r="C4" s="46" cm="1">
        <f t="array" ref="C4">IFERROR(
IF(
SUM(
IFERROR(_xlfn._xlws.FILTER(general_journal[Debit], general_journal[Account Name] = B4), 0), IFERROR(_xlfn._xlws.FILTER(closing_entries[Debit], closing_entries[Account Name] = B4), 0)
) &gt; SUM(
IFERROR(_xlfn._xlws.FILTER(general_journal[Credit], general_journal[Account Name] = B4), 0),  IFERROR(_xlfn._xlws.FILTER(closing_entries[Credit], closing_entries[Account Name] = B4), 0)),
SUM(
IFERROR(_xlfn._xlws.FILTER(general_journal[Debit], general_journal[Account Name] = B4), 0), IFERROR(_xlfn._xlws.FILTER(closing_entries[Debit], closing_entries[Account Name] = B4), 0)
) - SUM(
IFERROR(_xlfn._xlws.FILTER(general_journal[Credit], general_journal[Account Name] = B4), 0),  IFERROR(_xlfn._xlws.FILTER(closing_entries[Credit], closing_entries[Account Name] = B4), 0)),
0 ),
0)</f>
        <v>24000</v>
      </c>
      <c r="D4" s="47" cm="1">
        <f t="array" ref="D4">IFERROR(
IF(
SUM(
IFERROR(_xlfn._xlws.FILTER(general_journal[Debit], general_journal[Account Name] = B4), 0), IFERROR(_xlfn._xlws.FILTER(closing_entries[Debit], closing_entries[Account Name] = B4), 0)
) &lt; SUM(
IFERROR(_xlfn._xlws.FILTER(general_journal[Credit], general_journal[Account Name] = B4), 0),  IFERROR(_xlfn._xlws.FILTER(closing_entries[Credit], closing_entries[Account Name] = B4), 0)
), SUM(
IFERROR(_xlfn._xlws.FILTER(general_journal[Credit], general_journal[Account Name] = B4), 0),  IFERROR(_xlfn._xlws.FILTER(closing_entries[Credit], closing_entries[Account Name] = B4), 0)
) - SUM(
IFERROR(_xlfn._xlws.FILTER(general_journal[Debit], general_journal[Account Name] = B4), 0), IFERROR(_xlfn._xlws.FILTER(closing_entries[Debit], closing_entries[Account Name] = B4), 0)
),
0 ),
0)</f>
        <v>0</v>
      </c>
    </row>
    <row r="5" spans="2:4" x14ac:dyDescent="0.35">
      <c r="B5" s="92" t="str">
        <f>chart_of_accounts[[#This Row],[Account name]]</f>
        <v>Computer Equipment</v>
      </c>
      <c r="C5" s="46" cm="1">
        <f t="array" ref="C5">IFERROR(
IF(
SUM(
IFERROR(_xlfn._xlws.FILTER(general_journal[Debit], general_journal[Account Name] = B5), 0), IFERROR(_xlfn._xlws.FILTER(closing_entries[Debit], closing_entries[Account Name] = B5), 0)
) &gt; SUM(
IFERROR(_xlfn._xlws.FILTER(general_journal[Credit], general_journal[Account Name] = B5), 0),  IFERROR(_xlfn._xlws.FILTER(closing_entries[Credit], closing_entries[Account Name] = B5), 0)),
SUM(
IFERROR(_xlfn._xlws.FILTER(general_journal[Debit], general_journal[Account Name] = B5), 0), IFERROR(_xlfn._xlws.FILTER(closing_entries[Debit], closing_entries[Account Name] = B5), 0)
) - SUM(
IFERROR(_xlfn._xlws.FILTER(general_journal[Credit], general_journal[Account Name] = B5), 0),  IFERROR(_xlfn._xlws.FILTER(closing_entries[Credit], closing_entries[Account Name] = B5), 0)),
0 ),
0)</f>
        <v>30000</v>
      </c>
      <c r="D5" s="47" cm="1">
        <f t="array" ref="D5">IFERROR(
IF(
SUM(
IFERROR(_xlfn._xlws.FILTER(general_journal[Debit], general_journal[Account Name] = B5), 0), IFERROR(_xlfn._xlws.FILTER(closing_entries[Debit], closing_entries[Account Name] = B5), 0)
) &lt; SUM(
IFERROR(_xlfn._xlws.FILTER(general_journal[Credit], general_journal[Account Name] = B5), 0),  IFERROR(_xlfn._xlws.FILTER(closing_entries[Credit], closing_entries[Account Name] = B5), 0)
), SUM(
IFERROR(_xlfn._xlws.FILTER(general_journal[Credit], general_journal[Account Name] = B5), 0),  IFERROR(_xlfn._xlws.FILTER(closing_entries[Credit], closing_entries[Account Name] = B5), 0)
) - SUM(
IFERROR(_xlfn._xlws.FILTER(general_journal[Debit], general_journal[Account Name] = B5), 0), IFERROR(_xlfn._xlws.FILTER(closing_entries[Debit], closing_entries[Account Name] = B5), 0)
),
0 ),
0)</f>
        <v>0</v>
      </c>
    </row>
    <row r="6" spans="2:4" x14ac:dyDescent="0.35">
      <c r="B6" s="92" t="str">
        <f>chart_of_accounts[[#This Row],[Account name]]</f>
        <v>Accumulated Depreciation – PPE</v>
      </c>
      <c r="C6" s="46" cm="1">
        <f t="array" ref="C6">IFERROR(
IF(
SUM(
IFERROR(_xlfn._xlws.FILTER(general_journal[Debit], general_journal[Account Name] = B6), 0), IFERROR(_xlfn._xlws.FILTER(closing_entries[Debit], closing_entries[Account Name] = B6), 0)
) &gt; SUM(
IFERROR(_xlfn._xlws.FILTER(general_journal[Credit], general_journal[Account Name] = B6), 0),  IFERROR(_xlfn._xlws.FILTER(closing_entries[Credit], closing_entries[Account Name] = B6), 0)),
SUM(
IFERROR(_xlfn._xlws.FILTER(general_journal[Debit], general_journal[Account Name] = B6), 0), IFERROR(_xlfn._xlws.FILTER(closing_entries[Debit], closing_entries[Account Name] = B6), 0)
) - SUM(
IFERROR(_xlfn._xlws.FILTER(general_journal[Credit], general_journal[Account Name] = B6), 0),  IFERROR(_xlfn._xlws.FILTER(closing_entries[Credit], closing_entries[Account Name] = B6), 0)),
0 ),
0)</f>
        <v>0</v>
      </c>
      <c r="D6" s="47" cm="1">
        <f t="array" ref="D6">IFERROR(
IF(
SUM(
IFERROR(_xlfn._xlws.FILTER(general_journal[Debit], general_journal[Account Name] = B6), 0), IFERROR(_xlfn._xlws.FILTER(closing_entries[Debit], closing_entries[Account Name] = B6), 0)
) &lt; SUM(
IFERROR(_xlfn._xlws.FILTER(general_journal[Credit], general_journal[Account Name] = B6), 0),  IFERROR(_xlfn._xlws.FILTER(closing_entries[Credit], closing_entries[Account Name] = B6), 0)
), SUM(
IFERROR(_xlfn._xlws.FILTER(general_journal[Credit], general_journal[Account Name] = B6), 0),  IFERROR(_xlfn._xlws.FILTER(closing_entries[Credit], closing_entries[Account Name] = B6), 0)
) - SUM(
IFERROR(_xlfn._xlws.FILTER(general_journal[Debit], general_journal[Account Name] = B6), 0), IFERROR(_xlfn._xlws.FILTER(closing_entries[Debit], closing_entries[Account Name] = B6), 0)
),
0 ),
0)</f>
        <v>1233.3333333333335</v>
      </c>
    </row>
    <row r="7" spans="2:4" x14ac:dyDescent="0.35">
      <c r="B7" s="92" t="str">
        <f>chart_of_accounts[[#This Row],[Account name]]</f>
        <v>Inventory</v>
      </c>
      <c r="C7" s="46" cm="1">
        <f t="array" ref="C7">IFERROR(
IF(
SUM(
IFERROR(_xlfn._xlws.FILTER(general_journal[Debit], general_journal[Account Name] = B7), 0), IFERROR(_xlfn._xlws.FILTER(closing_entries[Debit], closing_entries[Account Name] = B7), 0)
) &gt; SUM(
IFERROR(_xlfn._xlws.FILTER(general_journal[Credit], general_journal[Account Name] = B7), 0),  IFERROR(_xlfn._xlws.FILTER(closing_entries[Credit], closing_entries[Account Name] = B7), 0)),
SUM(
IFERROR(_xlfn._xlws.FILTER(general_journal[Debit], general_journal[Account Name] = B7), 0), IFERROR(_xlfn._xlws.FILTER(closing_entries[Debit], closing_entries[Account Name] = B7), 0)
) - SUM(
IFERROR(_xlfn._xlws.FILTER(general_journal[Credit], general_journal[Account Name] = B7), 0),  IFERROR(_xlfn._xlws.FILTER(closing_entries[Credit], closing_entries[Account Name] = B7), 0)),
0 ),
0)</f>
        <v>74500</v>
      </c>
      <c r="D7" s="47" cm="1">
        <f t="array" ref="D7">IFERROR(
IF(
SUM(
IFERROR(_xlfn._xlws.FILTER(general_journal[Debit], general_journal[Account Name] = B7), 0), IFERROR(_xlfn._xlws.FILTER(closing_entries[Debit], closing_entries[Account Name] = B7), 0)
) &lt; SUM(
IFERROR(_xlfn._xlws.FILTER(general_journal[Credit], general_journal[Account Name] = B7), 0),  IFERROR(_xlfn._xlws.FILTER(closing_entries[Credit], closing_entries[Account Name] = B7), 0)
), SUM(
IFERROR(_xlfn._xlws.FILTER(general_journal[Credit], general_journal[Account Name] = B7), 0),  IFERROR(_xlfn._xlws.FILTER(closing_entries[Credit], closing_entries[Account Name] = B7), 0)
) - SUM(
IFERROR(_xlfn._xlws.FILTER(general_journal[Debit], general_journal[Account Name] = B7), 0), IFERROR(_xlfn._xlws.FILTER(closing_entries[Debit], closing_entries[Account Name] = B7), 0)
),
0 ),
0)</f>
        <v>0</v>
      </c>
    </row>
    <row r="8" spans="2:4" x14ac:dyDescent="0.35">
      <c r="B8" s="92" t="str">
        <f>chart_of_accounts[[#This Row],[Account name]]</f>
        <v>Trade Receivables</v>
      </c>
      <c r="C8" s="46" cm="1">
        <f t="array" ref="C8">IFERROR(
IF(
SUM(
IFERROR(_xlfn._xlws.FILTER(general_journal[Debit], general_journal[Account Name] = B8), 0), IFERROR(_xlfn._xlws.FILTER(closing_entries[Debit], closing_entries[Account Name] = B8), 0)
) &gt; SUM(
IFERROR(_xlfn._xlws.FILTER(general_journal[Credit], general_journal[Account Name] = B8), 0),  IFERROR(_xlfn._xlws.FILTER(closing_entries[Credit], closing_entries[Account Name] = B8), 0)),
SUM(
IFERROR(_xlfn._xlws.FILTER(general_journal[Debit], general_journal[Account Name] = B8), 0), IFERROR(_xlfn._xlws.FILTER(closing_entries[Debit], closing_entries[Account Name] = B8), 0)
) - SUM(
IFERROR(_xlfn._xlws.FILTER(general_journal[Credit], general_journal[Account Name] = B8), 0),  IFERROR(_xlfn._xlws.FILTER(closing_entries[Credit], closing_entries[Account Name] = B8), 0)),
0 ),
0)</f>
        <v>223000</v>
      </c>
      <c r="D8" s="47" cm="1">
        <f t="array" ref="D8">IFERROR(
IF(
SUM(
IFERROR(_xlfn._xlws.FILTER(general_journal[Debit], general_journal[Account Name] = B8), 0), IFERROR(_xlfn._xlws.FILTER(closing_entries[Debit], closing_entries[Account Name] = B8), 0)
) &lt; SUM(
IFERROR(_xlfn._xlws.FILTER(general_journal[Credit], general_journal[Account Name] = B8), 0),  IFERROR(_xlfn._xlws.FILTER(closing_entries[Credit], closing_entries[Account Name] = B8), 0)
), SUM(
IFERROR(_xlfn._xlws.FILTER(general_journal[Credit], general_journal[Account Name] = B8), 0),  IFERROR(_xlfn._xlws.FILTER(closing_entries[Credit], closing_entries[Account Name] = B8), 0)
) - SUM(
IFERROR(_xlfn._xlws.FILTER(general_journal[Debit], general_journal[Account Name] = B8), 0), IFERROR(_xlfn._xlws.FILTER(closing_entries[Debit], closing_entries[Account Name] = B8), 0)
),
0 ),
0)</f>
        <v>0</v>
      </c>
    </row>
    <row r="9" spans="2:4" x14ac:dyDescent="0.35">
      <c r="B9" s="92" t="str">
        <f>chart_of_accounts[[#This Row],[Account name]]</f>
        <v>Prepayments</v>
      </c>
      <c r="C9" s="46" cm="1">
        <f t="array" ref="C9">IFERROR(
IF(
SUM(
IFERROR(_xlfn._xlws.FILTER(general_journal[Debit], general_journal[Account Name] = B9), 0), IFERROR(_xlfn._xlws.FILTER(closing_entries[Debit], closing_entries[Account Name] = B9), 0)
) &gt; SUM(
IFERROR(_xlfn._xlws.FILTER(general_journal[Credit], general_journal[Account Name] = B9), 0),  IFERROR(_xlfn._xlws.FILTER(closing_entries[Credit], closing_entries[Account Name] = B9), 0)),
SUM(
IFERROR(_xlfn._xlws.FILTER(general_journal[Debit], general_journal[Account Name] = B9), 0), IFERROR(_xlfn._xlws.FILTER(closing_entries[Debit], closing_entries[Account Name] = B9), 0)
) - SUM(
IFERROR(_xlfn._xlws.FILTER(general_journal[Credit], general_journal[Account Name] = B9), 0),  IFERROR(_xlfn._xlws.FILTER(closing_entries[Credit], closing_entries[Account Name] = B9), 0)),
0 ),
0)</f>
        <v>11000</v>
      </c>
      <c r="D9" s="47" cm="1">
        <f t="array" ref="D9">IFERROR(
IF(
SUM(
IFERROR(_xlfn._xlws.FILTER(general_journal[Debit], general_journal[Account Name] = B9), 0), IFERROR(_xlfn._xlws.FILTER(closing_entries[Debit], closing_entries[Account Name] = B9), 0)
) &lt; SUM(
IFERROR(_xlfn._xlws.FILTER(general_journal[Credit], general_journal[Account Name] = B9), 0),  IFERROR(_xlfn._xlws.FILTER(closing_entries[Credit], closing_entries[Account Name] = B9), 0)
), SUM(
IFERROR(_xlfn._xlws.FILTER(general_journal[Credit], general_journal[Account Name] = B9), 0),  IFERROR(_xlfn._xlws.FILTER(closing_entries[Credit], closing_entries[Account Name] = B9), 0)
) - SUM(
IFERROR(_xlfn._xlws.FILTER(general_journal[Debit], general_journal[Account Name] = B9), 0), IFERROR(_xlfn._xlws.FILTER(closing_entries[Debit], closing_entries[Account Name] = B9), 0)
),
0 ),
0)</f>
        <v>0</v>
      </c>
    </row>
    <row r="10" spans="2:4" x14ac:dyDescent="0.35">
      <c r="B10" s="92" t="str">
        <f>chart_of_accounts[[#This Row],[Account name]]</f>
        <v>Bank</v>
      </c>
      <c r="C10" s="46" cm="1">
        <f t="array" ref="C10">IFERROR(
IF(
SUM(
IFERROR(_xlfn._xlws.FILTER(general_journal[Debit], general_journal[Account Name] = B10), 0), IFERROR(_xlfn._xlws.FILTER(closing_entries[Debit], closing_entries[Account Name] = B10), 0)
) &gt; SUM(
IFERROR(_xlfn._xlws.FILTER(general_journal[Credit], general_journal[Account Name] = B10), 0),  IFERROR(_xlfn._xlws.FILTER(closing_entries[Credit], closing_entries[Account Name] = B10), 0)),
SUM(
IFERROR(_xlfn._xlws.FILTER(general_journal[Debit], general_journal[Account Name] = B10), 0), IFERROR(_xlfn._xlws.FILTER(closing_entries[Debit], closing_entries[Account Name] = B10), 0)
) - SUM(
IFERROR(_xlfn._xlws.FILTER(general_journal[Credit], general_journal[Account Name] = B10), 0),  IFERROR(_xlfn._xlws.FILTER(closing_entries[Credit], closing_entries[Account Name] = B10), 0)),
0 ),
0)</f>
        <v>746700</v>
      </c>
      <c r="D10" s="47" cm="1">
        <f t="array" ref="D10">IFERROR(
IF(
SUM(
IFERROR(_xlfn._xlws.FILTER(general_journal[Debit], general_journal[Account Name] = B10), 0), IFERROR(_xlfn._xlws.FILTER(closing_entries[Debit], closing_entries[Account Name] = B10), 0)
) &lt; SUM(
IFERROR(_xlfn._xlws.FILTER(general_journal[Credit], general_journal[Account Name] = B10), 0),  IFERROR(_xlfn._xlws.FILTER(closing_entries[Credit], closing_entries[Account Name] = B10), 0)
), SUM(
IFERROR(_xlfn._xlws.FILTER(general_journal[Credit], general_journal[Account Name] = B10), 0),  IFERROR(_xlfn._xlws.FILTER(closing_entries[Credit], closing_entries[Account Name] = B10), 0)
) - SUM(
IFERROR(_xlfn._xlws.FILTER(general_journal[Debit], general_journal[Account Name] = B10), 0), IFERROR(_xlfn._xlws.FILTER(closing_entries[Debit], closing_entries[Account Name] = B10), 0)
),
0 ),
0)</f>
        <v>0</v>
      </c>
    </row>
    <row r="11" spans="2:4" x14ac:dyDescent="0.35">
      <c r="B11" s="92" t="str">
        <f>chart_of_accounts[[#This Row],[Account name]]</f>
        <v>Ordinary Share Capital</v>
      </c>
      <c r="C11" s="46" cm="1">
        <f t="array" ref="C11">IFERROR(
IF(
SUM(
IFERROR(_xlfn._xlws.FILTER(general_journal[Debit], general_journal[Account Name] = B11), 0), IFERROR(_xlfn._xlws.FILTER(closing_entries[Debit], closing_entries[Account Name] = B11), 0)
) &gt; SUM(
IFERROR(_xlfn._xlws.FILTER(general_journal[Credit], general_journal[Account Name] = B11), 0),  IFERROR(_xlfn._xlws.FILTER(closing_entries[Credit], closing_entries[Account Name] = B11), 0)),
SUM(
IFERROR(_xlfn._xlws.FILTER(general_journal[Debit], general_journal[Account Name] = B11), 0), IFERROR(_xlfn._xlws.FILTER(closing_entries[Debit], closing_entries[Account Name] = B11), 0)
) - SUM(
IFERROR(_xlfn._xlws.FILTER(general_journal[Credit], general_journal[Account Name] = B11), 0),  IFERROR(_xlfn._xlws.FILTER(closing_entries[Credit], closing_entries[Account Name] = B11), 0)),
0 ),
0)</f>
        <v>0</v>
      </c>
      <c r="D11" s="47" cm="1">
        <f t="array" ref="D11">IFERROR(
IF(
SUM(
IFERROR(_xlfn._xlws.FILTER(general_journal[Debit], general_journal[Account Name] = B11), 0), IFERROR(_xlfn._xlws.FILTER(closing_entries[Debit], closing_entries[Account Name] = B11), 0)
) &lt; SUM(
IFERROR(_xlfn._xlws.FILTER(general_journal[Credit], general_journal[Account Name] = B11), 0),  IFERROR(_xlfn._xlws.FILTER(closing_entries[Credit], closing_entries[Account Name] = B11), 0)
), SUM(
IFERROR(_xlfn._xlws.FILTER(general_journal[Credit], general_journal[Account Name] = B11), 0),  IFERROR(_xlfn._xlws.FILTER(closing_entries[Credit], closing_entries[Account Name] = B11), 0)
) - SUM(
IFERROR(_xlfn._xlws.FILTER(general_journal[Debit], general_journal[Account Name] = B11), 0), IFERROR(_xlfn._xlws.FILTER(closing_entries[Debit], closing_entries[Account Name] = B11), 0)
),
0 ),
0)</f>
        <v>500000</v>
      </c>
    </row>
    <row r="12" spans="2:4" x14ac:dyDescent="0.35">
      <c r="B12" s="92" t="str">
        <f>chart_of_accounts[[#This Row],[Account name]]</f>
        <v>Retained Earnings</v>
      </c>
      <c r="C12" s="46" cm="1">
        <f t="array" ref="C12">IFERROR(
IF(
SUM(
IFERROR(_xlfn._xlws.FILTER(general_journal[Debit], general_journal[Account Name] = B12), 0), IFERROR(_xlfn._xlws.FILTER(closing_entries[Debit], closing_entries[Account Name] = B12), 0)
) &gt; SUM(
IFERROR(_xlfn._xlws.FILTER(general_journal[Credit], general_journal[Account Name] = B12), 0),  IFERROR(_xlfn._xlws.FILTER(closing_entries[Credit], closing_entries[Account Name] = B12), 0)),
SUM(
IFERROR(_xlfn._xlws.FILTER(general_journal[Debit], general_journal[Account Name] = B12), 0), IFERROR(_xlfn._xlws.FILTER(closing_entries[Debit], closing_entries[Account Name] = B12), 0)
) - SUM(
IFERROR(_xlfn._xlws.FILTER(general_journal[Credit], general_journal[Account Name] = B12), 0),  IFERROR(_xlfn._xlws.FILTER(closing_entries[Credit], closing_entries[Account Name] = B12), 0)),
0 ),
0)</f>
        <v>0</v>
      </c>
      <c r="D12" s="47" cm="1">
        <f t="array" ref="D12">IFERROR(
IF(
SUM(
IFERROR(_xlfn._xlws.FILTER(general_journal[Debit], general_journal[Account Name] = B12), 0), IFERROR(_xlfn._xlws.FILTER(closing_entries[Debit], closing_entries[Account Name] = B12), 0)
) &lt; SUM(
IFERROR(_xlfn._xlws.FILTER(general_journal[Credit], general_journal[Account Name] = B12), 0),  IFERROR(_xlfn._xlws.FILTER(closing_entries[Credit], closing_entries[Account Name] = B12), 0)
), SUM(
IFERROR(_xlfn._xlws.FILTER(general_journal[Credit], general_journal[Account Name] = B12), 0),  IFERROR(_xlfn._xlws.FILTER(closing_entries[Credit], closing_entries[Account Name] = B12), 0)
) - SUM(
IFERROR(_xlfn._xlws.FILTER(general_journal[Debit], general_journal[Account Name] = B12), 0), IFERROR(_xlfn._xlws.FILTER(closing_entries[Debit], closing_entries[Account Name] = B12), 0)
),
0 ),
0)</f>
        <v>109266.66666666669</v>
      </c>
    </row>
    <row r="13" spans="2:4" x14ac:dyDescent="0.35">
      <c r="B13" s="92" t="str">
        <f>chart_of_accounts[[#This Row],[Account name]]</f>
        <v>Bank Loan</v>
      </c>
      <c r="C13" s="46" cm="1">
        <f t="array" ref="C13">IFERROR(
IF(
SUM(
IFERROR(_xlfn._xlws.FILTER(general_journal[Debit], general_journal[Account Name] = B13), 0), IFERROR(_xlfn._xlws.FILTER(closing_entries[Debit], closing_entries[Account Name] = B13), 0)
) &gt; SUM(
IFERROR(_xlfn._xlws.FILTER(general_journal[Credit], general_journal[Account Name] = B13), 0),  IFERROR(_xlfn._xlws.FILTER(closing_entries[Credit], closing_entries[Account Name] = B13), 0)),
SUM(
IFERROR(_xlfn._xlws.FILTER(general_journal[Debit], general_journal[Account Name] = B13), 0), IFERROR(_xlfn._xlws.FILTER(closing_entries[Debit], closing_entries[Account Name] = B13), 0)
) - SUM(
IFERROR(_xlfn._xlws.FILTER(general_journal[Credit], general_journal[Account Name] = B13), 0),  IFERROR(_xlfn._xlws.FILTER(closing_entries[Credit], closing_entries[Account Name] = B13), 0)),
0 ),
0)</f>
        <v>0</v>
      </c>
      <c r="D13" s="47" cm="1">
        <f t="array" ref="D13">IFERROR(
IF(
SUM(
IFERROR(_xlfn._xlws.FILTER(general_journal[Debit], general_journal[Account Name] = B13), 0), IFERROR(_xlfn._xlws.FILTER(closing_entries[Debit], closing_entries[Account Name] = B13), 0)
) &lt; SUM(
IFERROR(_xlfn._xlws.FILTER(general_journal[Credit], general_journal[Account Name] = B13), 0),  IFERROR(_xlfn._xlws.FILTER(closing_entries[Credit], closing_entries[Account Name] = B13), 0)
), SUM(
IFERROR(_xlfn._xlws.FILTER(general_journal[Credit], general_journal[Account Name] = B13), 0),  IFERROR(_xlfn._xlws.FILTER(closing_entries[Credit], closing_entries[Account Name] = B13), 0)
) - SUM(
IFERROR(_xlfn._xlws.FILTER(general_journal[Debit], general_journal[Account Name] = B13), 0), IFERROR(_xlfn._xlws.FILTER(closing_entries[Debit], closing_entries[Account Name] = B13), 0)
),
0 ),
0)</f>
        <v>149000</v>
      </c>
    </row>
    <row r="14" spans="2:4" x14ac:dyDescent="0.35">
      <c r="B14" s="92" t="str">
        <f>chart_of_accounts[[#This Row],[Account name]]</f>
        <v>Trade Payables</v>
      </c>
      <c r="C14" s="46" cm="1">
        <f t="array" ref="C14">IFERROR(
IF(
SUM(
IFERROR(_xlfn._xlws.FILTER(general_journal[Debit], general_journal[Account Name] = B14), 0), IFERROR(_xlfn._xlws.FILTER(closing_entries[Debit], closing_entries[Account Name] = B14), 0)
) &gt; SUM(
IFERROR(_xlfn._xlws.FILTER(general_journal[Credit], general_journal[Account Name] = B14), 0),  IFERROR(_xlfn._xlws.FILTER(closing_entries[Credit], closing_entries[Account Name] = B14), 0)),
SUM(
IFERROR(_xlfn._xlws.FILTER(general_journal[Debit], general_journal[Account Name] = B14), 0), IFERROR(_xlfn._xlws.FILTER(closing_entries[Debit], closing_entries[Account Name] = B14), 0)
) - SUM(
IFERROR(_xlfn._xlws.FILTER(general_journal[Credit], general_journal[Account Name] = B14), 0),  IFERROR(_xlfn._xlws.FILTER(closing_entries[Credit], closing_entries[Account Name] = B14), 0)),
0 ),
0)</f>
        <v>0</v>
      </c>
      <c r="D14" s="47" cm="1">
        <f t="array" ref="D14">IFERROR(
IF(
SUM(
IFERROR(_xlfn._xlws.FILTER(general_journal[Debit], general_journal[Account Name] = B14), 0), IFERROR(_xlfn._xlws.FILTER(closing_entries[Debit], closing_entries[Account Name] = B14), 0)
) &lt; SUM(
IFERROR(_xlfn._xlws.FILTER(general_journal[Credit], general_journal[Account Name] = B14), 0),  IFERROR(_xlfn._xlws.FILTER(closing_entries[Credit], closing_entries[Account Name] = B14), 0)
), SUM(
IFERROR(_xlfn._xlws.FILTER(general_journal[Credit], general_journal[Account Name] = B14), 0),  IFERROR(_xlfn._xlws.FILTER(closing_entries[Credit], closing_entries[Account Name] = B14), 0)
) - SUM(
IFERROR(_xlfn._xlws.FILTER(general_journal[Debit], general_journal[Account Name] = B14), 0), IFERROR(_xlfn._xlws.FILTER(closing_entries[Debit], closing_entries[Account Name] = B14), 0)
),
0 ),
0)</f>
        <v>271000</v>
      </c>
    </row>
    <row r="15" spans="2:4" x14ac:dyDescent="0.35">
      <c r="B15" s="92" t="str">
        <f>chart_of_accounts[[#This Row],[Account name]]</f>
        <v>Accrued Expenses</v>
      </c>
      <c r="C15" s="46" cm="1">
        <f t="array" ref="C15">IFERROR(
IF(
SUM(
IFERROR(_xlfn._xlws.FILTER(general_journal[Debit], general_journal[Account Name] = B15), 0), IFERROR(_xlfn._xlws.FILTER(closing_entries[Debit], closing_entries[Account Name] = B15), 0)
) &gt; SUM(
IFERROR(_xlfn._xlws.FILTER(general_journal[Credit], general_journal[Account Name] = B15), 0),  IFERROR(_xlfn._xlws.FILTER(closing_entries[Credit], closing_entries[Account Name] = B15), 0)),
SUM(
IFERROR(_xlfn._xlws.FILTER(general_journal[Debit], general_journal[Account Name] = B15), 0), IFERROR(_xlfn._xlws.FILTER(closing_entries[Debit], closing_entries[Account Name] = B15), 0)
) - SUM(
IFERROR(_xlfn._xlws.FILTER(general_journal[Credit], general_journal[Account Name] = B15), 0),  IFERROR(_xlfn._xlws.FILTER(closing_entries[Credit], closing_entries[Account Name] = B15), 0)),
0 ),
0)</f>
        <v>0</v>
      </c>
      <c r="D15" s="47" cm="1">
        <f t="array" ref="D15">IFERROR(
IF(
SUM(
IFERROR(_xlfn._xlws.FILTER(general_journal[Debit], general_journal[Account Name] = B15), 0), IFERROR(_xlfn._xlws.FILTER(closing_entries[Debit], closing_entries[Account Name] = B15), 0)
) &lt; SUM(
IFERROR(_xlfn._xlws.FILTER(general_journal[Credit], general_journal[Account Name] = B15), 0),  IFERROR(_xlfn._xlws.FILTER(closing_entries[Credit], closing_entries[Account Name] = B15), 0)
), SUM(
IFERROR(_xlfn._xlws.FILTER(general_journal[Credit], general_journal[Account Name] = B15), 0),  IFERROR(_xlfn._xlws.FILTER(closing_entries[Credit], closing_entries[Account Name] = B15), 0)
) - SUM(
IFERROR(_xlfn._xlws.FILTER(general_journal[Debit], general_journal[Account Name] = B15), 0), IFERROR(_xlfn._xlws.FILTER(closing_entries[Debit], closing_entries[Account Name] = B15), 0)
),
0 ),
0)</f>
        <v>3700</v>
      </c>
    </row>
    <row r="16" spans="2:4" x14ac:dyDescent="0.35">
      <c r="B16" s="92" t="str">
        <f>chart_of_accounts[[#This Row],[Account name]]</f>
        <v>Prepaid Income</v>
      </c>
      <c r="C16" s="46" cm="1">
        <f t="array" ref="C16">IFERROR(
IF(
SUM(
IFERROR(_xlfn._xlws.FILTER(general_journal[Debit], general_journal[Account Name] = B16), 0), IFERROR(_xlfn._xlws.FILTER(closing_entries[Debit], closing_entries[Account Name] = B16), 0)
) &gt; SUM(
IFERROR(_xlfn._xlws.FILTER(general_journal[Credit], general_journal[Account Name] = B16), 0),  IFERROR(_xlfn._xlws.FILTER(closing_entries[Credit], closing_entries[Account Name] = B16), 0)),
SUM(
IFERROR(_xlfn._xlws.FILTER(general_journal[Debit], general_journal[Account Name] = B16), 0), IFERROR(_xlfn._xlws.FILTER(closing_entries[Debit], closing_entries[Account Name] = B16), 0)
) - SUM(
IFERROR(_xlfn._xlws.FILTER(general_journal[Credit], general_journal[Account Name] = B16), 0),  IFERROR(_xlfn._xlws.FILTER(closing_entries[Credit], closing_entries[Account Name] = B16), 0)),
0 ),
0)</f>
        <v>0</v>
      </c>
      <c r="D16" s="47" cm="1">
        <f t="array" ref="D16">IFERROR(
IF(
SUM(
IFERROR(_xlfn._xlws.FILTER(general_journal[Debit], general_journal[Account Name] = B16), 0), IFERROR(_xlfn._xlws.FILTER(closing_entries[Debit], closing_entries[Account Name] = B16), 0)
) &lt; SUM(
IFERROR(_xlfn._xlws.FILTER(general_journal[Credit], general_journal[Account Name] = B16), 0),  IFERROR(_xlfn._xlws.FILTER(closing_entries[Credit], closing_entries[Account Name] = B16), 0)
), SUM(
IFERROR(_xlfn._xlws.FILTER(general_journal[Credit], general_journal[Account Name] = B16), 0),  IFERROR(_xlfn._xlws.FILTER(closing_entries[Credit], closing_entries[Account Name] = B16), 0)
) - SUM(
IFERROR(_xlfn._xlws.FILTER(general_journal[Debit], general_journal[Account Name] = B16), 0), IFERROR(_xlfn._xlws.FILTER(closing_entries[Debit], closing_entries[Account Name] = B16), 0)
),
0 ),
0)</f>
        <v>30000</v>
      </c>
    </row>
    <row r="17" spans="2:4" x14ac:dyDescent="0.35">
      <c r="B17" s="92" t="str">
        <f>chart_of_accounts[[#This Row],[Account name]]</f>
        <v>Income Tax Payable</v>
      </c>
      <c r="C17" s="46" cm="1">
        <f t="array" ref="C17">IFERROR(
IF(
SUM(
IFERROR(_xlfn._xlws.FILTER(general_journal[Debit], general_journal[Account Name] = B17), 0), IFERROR(_xlfn._xlws.FILTER(closing_entries[Debit], closing_entries[Account Name] = B17), 0)
) &gt; SUM(
IFERROR(_xlfn._xlws.FILTER(general_journal[Credit], general_journal[Account Name] = B17), 0),  IFERROR(_xlfn._xlws.FILTER(closing_entries[Credit], closing_entries[Account Name] = B17), 0)),
SUM(
IFERROR(_xlfn._xlws.FILTER(general_journal[Debit], general_journal[Account Name] = B17), 0), IFERROR(_xlfn._xlws.FILTER(closing_entries[Debit], closing_entries[Account Name] = B17), 0)
) - SUM(
IFERROR(_xlfn._xlws.FILTER(general_journal[Credit], general_journal[Account Name] = B17), 0),  IFERROR(_xlfn._xlws.FILTER(closing_entries[Credit], closing_entries[Account Name] = B17), 0)),
0 ),
0)</f>
        <v>0</v>
      </c>
      <c r="D17" s="47" cm="1">
        <f t="array" ref="D17">IFERROR(
IF(
SUM(
IFERROR(_xlfn._xlws.FILTER(general_journal[Debit], general_journal[Account Name] = B17), 0), IFERROR(_xlfn._xlws.FILTER(closing_entries[Debit], closing_entries[Account Name] = B17), 0)
) &lt; SUM(
IFERROR(_xlfn._xlws.FILTER(general_journal[Credit], general_journal[Account Name] = B17), 0),  IFERROR(_xlfn._xlws.FILTER(closing_entries[Credit], closing_entries[Account Name] = B17), 0)
), SUM(
IFERROR(_xlfn._xlws.FILTER(general_journal[Credit], general_journal[Account Name] = B17), 0),  IFERROR(_xlfn._xlws.FILTER(closing_entries[Credit], closing_entries[Account Name] = B17), 0)
) - SUM(
IFERROR(_xlfn._xlws.FILTER(general_journal[Debit], general_journal[Account Name] = B17), 0), IFERROR(_xlfn._xlws.FILTER(closing_entries[Debit], closing_entries[Account Name] = B17), 0)
),
0 ),
0)</f>
        <v>45000</v>
      </c>
    </row>
    <row r="18" spans="2:4" x14ac:dyDescent="0.35">
      <c r="B18" s="92" t="str">
        <f>chart_of_accounts[[#This Row],[Account name]]</f>
        <v>Revenue – Sale of Goods</v>
      </c>
      <c r="C18" s="46" cm="1">
        <f t="array" ref="C18">IFERROR(
IF(
SUM(
IFERROR(_xlfn._xlws.FILTER(general_journal[Debit], general_journal[Account Name] = B18), 0), IFERROR(_xlfn._xlws.FILTER(closing_entries[Debit], closing_entries[Account Name] = B18), 0)
) &gt; SUM(
IFERROR(_xlfn._xlws.FILTER(general_journal[Credit], general_journal[Account Name] = B18), 0),  IFERROR(_xlfn._xlws.FILTER(closing_entries[Credit], closing_entries[Account Name] = B18), 0)),
SUM(
IFERROR(_xlfn._xlws.FILTER(general_journal[Debit], general_journal[Account Name] = B18), 0), IFERROR(_xlfn._xlws.FILTER(closing_entries[Debit], closing_entries[Account Name] = B18), 0)
) - SUM(
IFERROR(_xlfn._xlws.FILTER(general_journal[Credit], general_journal[Account Name] = B18), 0),  IFERROR(_xlfn._xlws.FILTER(closing_entries[Credit], closing_entries[Account Name] = B18), 0)),
0 ),
0)</f>
        <v>0</v>
      </c>
      <c r="D18" s="47" cm="1">
        <f t="array" ref="D18">IFERROR(
IF(
SUM(
IFERROR(_xlfn._xlws.FILTER(general_journal[Debit], general_journal[Account Name] = B18), 0), IFERROR(_xlfn._xlws.FILTER(closing_entries[Debit], closing_entries[Account Name] = B18), 0)
) &lt; SUM(
IFERROR(_xlfn._xlws.FILTER(general_journal[Credit], general_journal[Account Name] = B18), 0),  IFERROR(_xlfn._xlws.FILTER(closing_entries[Credit], closing_entries[Account Name] = B18), 0)
), SUM(
IFERROR(_xlfn._xlws.FILTER(general_journal[Credit], general_journal[Account Name] = B18), 0),  IFERROR(_xlfn._xlws.FILTER(closing_entries[Credit], closing_entries[Account Name] = B18), 0)
) - SUM(
IFERROR(_xlfn._xlws.FILTER(general_journal[Debit], general_journal[Account Name] = B18), 0), IFERROR(_xlfn._xlws.FILTER(closing_entries[Debit], closing_entries[Account Name] = B18), 0)
),
0 ),
0)</f>
        <v>0</v>
      </c>
    </row>
    <row r="19" spans="2:4" x14ac:dyDescent="0.35">
      <c r="B19" s="92" t="str">
        <f>chart_of_accounts[[#This Row],[Account name]]</f>
        <v>Sales Returns</v>
      </c>
      <c r="C19" s="46" cm="1">
        <f t="array" ref="C19">IFERROR(
IF(
SUM(
IFERROR(_xlfn._xlws.FILTER(general_journal[Debit], general_journal[Account Name] = B19), 0), IFERROR(_xlfn._xlws.FILTER(closing_entries[Debit], closing_entries[Account Name] = B19), 0)
) &gt; SUM(
IFERROR(_xlfn._xlws.FILTER(general_journal[Credit], general_journal[Account Name] = B19), 0),  IFERROR(_xlfn._xlws.FILTER(closing_entries[Credit], closing_entries[Account Name] = B19), 0)),
SUM(
IFERROR(_xlfn._xlws.FILTER(general_journal[Debit], general_journal[Account Name] = B19), 0), IFERROR(_xlfn._xlws.FILTER(closing_entries[Debit], closing_entries[Account Name] = B19), 0)
) - SUM(
IFERROR(_xlfn._xlws.FILTER(general_journal[Credit], general_journal[Account Name] = B19), 0),  IFERROR(_xlfn._xlws.FILTER(closing_entries[Credit], closing_entries[Account Name] = B19), 0)),
0 ),
0)</f>
        <v>0</v>
      </c>
      <c r="D19" s="47" cm="1">
        <f t="array" ref="D19">IFERROR(
IF(
SUM(
IFERROR(_xlfn._xlws.FILTER(general_journal[Debit], general_journal[Account Name] = B19), 0), IFERROR(_xlfn._xlws.FILTER(closing_entries[Debit], closing_entries[Account Name] = B19), 0)
) &lt; SUM(
IFERROR(_xlfn._xlws.FILTER(general_journal[Credit], general_journal[Account Name] = B19), 0),  IFERROR(_xlfn._xlws.FILTER(closing_entries[Credit], closing_entries[Account Name] = B19), 0)
), SUM(
IFERROR(_xlfn._xlws.FILTER(general_journal[Credit], general_journal[Account Name] = B19), 0),  IFERROR(_xlfn._xlws.FILTER(closing_entries[Credit], closing_entries[Account Name] = B19), 0)
) - SUM(
IFERROR(_xlfn._xlws.FILTER(general_journal[Debit], general_journal[Account Name] = B19), 0), IFERROR(_xlfn._xlws.FILTER(closing_entries[Debit], closing_entries[Account Name] = B19), 0)
),
0 ),
0)</f>
        <v>0</v>
      </c>
    </row>
    <row r="20" spans="2:4" x14ac:dyDescent="0.35">
      <c r="B20" s="92" t="str">
        <f>chart_of_accounts[[#This Row],[Account name]]</f>
        <v>Cost of Sales</v>
      </c>
      <c r="C20" s="46" cm="1">
        <f t="array" ref="C20">IFERROR(
IF(
SUM(
IFERROR(_xlfn._xlws.FILTER(general_journal[Debit], general_journal[Account Name] = B20), 0), IFERROR(_xlfn._xlws.FILTER(closing_entries[Debit], closing_entries[Account Name] = B20), 0)
) &gt; SUM(
IFERROR(_xlfn._xlws.FILTER(general_journal[Credit], general_journal[Account Name] = B20), 0),  IFERROR(_xlfn._xlws.FILTER(closing_entries[Credit], closing_entries[Account Name] = B20), 0)),
SUM(
IFERROR(_xlfn._xlws.FILTER(general_journal[Debit], general_journal[Account Name] = B20), 0), IFERROR(_xlfn._xlws.FILTER(closing_entries[Debit], closing_entries[Account Name] = B20), 0)
) - SUM(
IFERROR(_xlfn._xlws.FILTER(general_journal[Credit], general_journal[Account Name] = B20), 0),  IFERROR(_xlfn._xlws.FILTER(closing_entries[Credit], closing_entries[Account Name] = B20), 0)),
0 ),
0)</f>
        <v>0</v>
      </c>
      <c r="D20" s="47" cm="1">
        <f t="array" ref="D20">IFERROR(
IF(
SUM(
IFERROR(_xlfn._xlws.FILTER(general_journal[Debit], general_journal[Account Name] = B20), 0), IFERROR(_xlfn._xlws.FILTER(closing_entries[Debit], closing_entries[Account Name] = B20), 0)
) &lt; SUM(
IFERROR(_xlfn._xlws.FILTER(general_journal[Credit], general_journal[Account Name] = B20), 0),  IFERROR(_xlfn._xlws.FILTER(closing_entries[Credit], closing_entries[Account Name] = B20), 0)
), SUM(
IFERROR(_xlfn._xlws.FILTER(general_journal[Credit], general_journal[Account Name] = B20), 0),  IFERROR(_xlfn._xlws.FILTER(closing_entries[Credit], closing_entries[Account Name] = B20), 0)
) - SUM(
IFERROR(_xlfn._xlws.FILTER(general_journal[Debit], general_journal[Account Name] = B20), 0), IFERROR(_xlfn._xlws.FILTER(closing_entries[Debit], closing_entries[Account Name] = B20), 0)
),
0 ),
0)</f>
        <v>0</v>
      </c>
    </row>
    <row r="21" spans="2:4" x14ac:dyDescent="0.35">
      <c r="B21" s="92" t="str">
        <f>chart_of_accounts[[#This Row],[Account name]]</f>
        <v>Inventory Write-down</v>
      </c>
      <c r="C21" s="46" cm="1">
        <f t="array" ref="C21">IFERROR(
IF(
SUM(
IFERROR(_xlfn._xlws.FILTER(general_journal[Debit], general_journal[Account Name] = B21), 0), IFERROR(_xlfn._xlws.FILTER(closing_entries[Debit], closing_entries[Account Name] = B21), 0)
) &gt; SUM(
IFERROR(_xlfn._xlws.FILTER(general_journal[Credit], general_journal[Account Name] = B21), 0),  IFERROR(_xlfn._xlws.FILTER(closing_entries[Credit], closing_entries[Account Name] = B21), 0)),
SUM(
IFERROR(_xlfn._xlws.FILTER(general_journal[Debit], general_journal[Account Name] = B21), 0), IFERROR(_xlfn._xlws.FILTER(closing_entries[Debit], closing_entries[Account Name] = B21), 0)
) - SUM(
IFERROR(_xlfn._xlws.FILTER(general_journal[Credit], general_journal[Account Name] = B21), 0),  IFERROR(_xlfn._xlws.FILTER(closing_entries[Credit], closing_entries[Account Name] = B21), 0)),
0 ),
0)</f>
        <v>0</v>
      </c>
      <c r="D21" s="47" cm="1">
        <f t="array" ref="D21">IFERROR(
IF(
SUM(
IFERROR(_xlfn._xlws.FILTER(general_journal[Debit], general_journal[Account Name] = B21), 0), IFERROR(_xlfn._xlws.FILTER(closing_entries[Debit], closing_entries[Account Name] = B21), 0)
) &lt; SUM(
IFERROR(_xlfn._xlws.FILTER(general_journal[Credit], general_journal[Account Name] = B21), 0),  IFERROR(_xlfn._xlws.FILTER(closing_entries[Credit], closing_entries[Account Name] = B21), 0)
), SUM(
IFERROR(_xlfn._xlws.FILTER(general_journal[Credit], general_journal[Account Name] = B21), 0),  IFERROR(_xlfn._xlws.FILTER(closing_entries[Credit], closing_entries[Account Name] = B21), 0)
) - SUM(
IFERROR(_xlfn._xlws.FILTER(general_journal[Debit], general_journal[Account Name] = B21), 0), IFERROR(_xlfn._xlws.FILTER(closing_entries[Debit], closing_entries[Account Name] = B21), 0)
),
0 ),
0)</f>
        <v>0</v>
      </c>
    </row>
    <row r="22" spans="2:4" x14ac:dyDescent="0.35">
      <c r="B22" s="92" t="str">
        <f>chart_of_accounts[[#This Row],[Account name]]</f>
        <v>Salaries &amp; Wages</v>
      </c>
      <c r="C22" s="46" cm="1">
        <f t="array" ref="C22">IFERROR(
IF(
SUM(
IFERROR(_xlfn._xlws.FILTER(general_journal[Debit], general_journal[Account Name] = B22), 0), IFERROR(_xlfn._xlws.FILTER(closing_entries[Debit], closing_entries[Account Name] = B22), 0)
) &gt; SUM(
IFERROR(_xlfn._xlws.FILTER(general_journal[Credit], general_journal[Account Name] = B22), 0),  IFERROR(_xlfn._xlws.FILTER(closing_entries[Credit], closing_entries[Account Name] = B22), 0)),
SUM(
IFERROR(_xlfn._xlws.FILTER(general_journal[Debit], general_journal[Account Name] = B22), 0), IFERROR(_xlfn._xlws.FILTER(closing_entries[Debit], closing_entries[Account Name] = B22), 0)
) - SUM(
IFERROR(_xlfn._xlws.FILTER(general_journal[Credit], general_journal[Account Name] = B22), 0),  IFERROR(_xlfn._xlws.FILTER(closing_entries[Credit], closing_entries[Account Name] = B22), 0)),
0 ),
0)</f>
        <v>0</v>
      </c>
      <c r="D22" s="47" cm="1">
        <f t="array" ref="D22">IFERROR(
IF(
SUM(
IFERROR(_xlfn._xlws.FILTER(general_journal[Debit], general_journal[Account Name] = B22), 0), IFERROR(_xlfn._xlws.FILTER(closing_entries[Debit], closing_entries[Account Name] = B22), 0)
) &lt; SUM(
IFERROR(_xlfn._xlws.FILTER(general_journal[Credit], general_journal[Account Name] = B22), 0),  IFERROR(_xlfn._xlws.FILTER(closing_entries[Credit], closing_entries[Account Name] = B22), 0)
), SUM(
IFERROR(_xlfn._xlws.FILTER(general_journal[Credit], general_journal[Account Name] = B22), 0),  IFERROR(_xlfn._xlws.FILTER(closing_entries[Credit], closing_entries[Account Name] = B22), 0)
) - SUM(
IFERROR(_xlfn._xlws.FILTER(general_journal[Debit], general_journal[Account Name] = B22), 0), IFERROR(_xlfn._xlws.FILTER(closing_entries[Debit], closing_entries[Account Name] = B22), 0)
),
0 ),
0)</f>
        <v>0</v>
      </c>
    </row>
    <row r="23" spans="2:4" x14ac:dyDescent="0.35">
      <c r="B23" s="92" t="str">
        <f>chart_of_accounts[[#This Row],[Account name]]</f>
        <v>Rent Expense</v>
      </c>
      <c r="C23" s="46" cm="1">
        <f t="array" ref="C23">IFERROR(
IF(
SUM(
IFERROR(_xlfn._xlws.FILTER(general_journal[Debit], general_journal[Account Name] = B23), 0), IFERROR(_xlfn._xlws.FILTER(closing_entries[Debit], closing_entries[Account Name] = B23), 0)
) &gt; SUM(
IFERROR(_xlfn._xlws.FILTER(general_journal[Credit], general_journal[Account Name] = B23), 0),  IFERROR(_xlfn._xlws.FILTER(closing_entries[Credit], closing_entries[Account Name] = B23), 0)),
SUM(
IFERROR(_xlfn._xlws.FILTER(general_journal[Debit], general_journal[Account Name] = B23), 0), IFERROR(_xlfn._xlws.FILTER(closing_entries[Debit], closing_entries[Account Name] = B23), 0)
) - SUM(
IFERROR(_xlfn._xlws.FILTER(general_journal[Credit], general_journal[Account Name] = B23), 0),  IFERROR(_xlfn._xlws.FILTER(closing_entries[Credit], closing_entries[Account Name] = B23), 0)),
0 ),
0)</f>
        <v>0</v>
      </c>
      <c r="D23" s="47" cm="1">
        <f t="array" ref="D23">IFERROR(
IF(
SUM(
IFERROR(_xlfn._xlws.FILTER(general_journal[Debit], general_journal[Account Name] = B23), 0), IFERROR(_xlfn._xlws.FILTER(closing_entries[Debit], closing_entries[Account Name] = B23), 0)
) &lt; SUM(
IFERROR(_xlfn._xlws.FILTER(general_journal[Credit], general_journal[Account Name] = B23), 0),  IFERROR(_xlfn._xlws.FILTER(closing_entries[Credit], closing_entries[Account Name] = B23), 0)
), SUM(
IFERROR(_xlfn._xlws.FILTER(general_journal[Credit], general_journal[Account Name] = B23), 0),  IFERROR(_xlfn._xlws.FILTER(closing_entries[Credit], closing_entries[Account Name] = B23), 0)
) - SUM(
IFERROR(_xlfn._xlws.FILTER(general_journal[Debit], general_journal[Account Name] = B23), 0), IFERROR(_xlfn._xlws.FILTER(closing_entries[Debit], closing_entries[Account Name] = B23), 0)
),
0 ),
0)</f>
        <v>0</v>
      </c>
    </row>
    <row r="24" spans="2:4" x14ac:dyDescent="0.35">
      <c r="B24" s="92" t="str">
        <f>chart_of_accounts[[#This Row],[Account name]]</f>
        <v>Insurance Expense</v>
      </c>
      <c r="C24" s="46" cm="1">
        <f t="array" ref="C24">IFERROR(
IF(
SUM(
IFERROR(_xlfn._xlws.FILTER(general_journal[Debit], general_journal[Account Name] = B24), 0), IFERROR(_xlfn._xlws.FILTER(closing_entries[Debit], closing_entries[Account Name] = B24), 0)
) &gt; SUM(
IFERROR(_xlfn._xlws.FILTER(general_journal[Credit], general_journal[Account Name] = B24), 0),  IFERROR(_xlfn._xlws.FILTER(closing_entries[Credit], closing_entries[Account Name] = B24), 0)),
SUM(
IFERROR(_xlfn._xlws.FILTER(general_journal[Debit], general_journal[Account Name] = B24), 0), IFERROR(_xlfn._xlws.FILTER(closing_entries[Debit], closing_entries[Account Name] = B24), 0)
) - SUM(
IFERROR(_xlfn._xlws.FILTER(general_journal[Credit], general_journal[Account Name] = B24), 0),  IFERROR(_xlfn._xlws.FILTER(closing_entries[Credit], closing_entries[Account Name] = B24), 0)),
0 ),
0)</f>
        <v>0</v>
      </c>
      <c r="D24" s="47" cm="1">
        <f t="array" ref="D24">IFERROR(
IF(
SUM(
IFERROR(_xlfn._xlws.FILTER(general_journal[Debit], general_journal[Account Name] = B24), 0), IFERROR(_xlfn._xlws.FILTER(closing_entries[Debit], closing_entries[Account Name] = B24), 0)
) &lt; SUM(
IFERROR(_xlfn._xlws.FILTER(general_journal[Credit], general_journal[Account Name] = B24), 0),  IFERROR(_xlfn._xlws.FILTER(closing_entries[Credit], closing_entries[Account Name] = B24), 0)
), SUM(
IFERROR(_xlfn._xlws.FILTER(general_journal[Credit], general_journal[Account Name] = B24), 0),  IFERROR(_xlfn._xlws.FILTER(closing_entries[Credit], closing_entries[Account Name] = B24), 0)
) - SUM(
IFERROR(_xlfn._xlws.FILTER(general_journal[Debit], general_journal[Account Name] = B24), 0), IFERROR(_xlfn._xlws.FILTER(closing_entries[Debit], closing_entries[Account Name] = B24), 0)
),
0 ),
0)</f>
        <v>0</v>
      </c>
    </row>
    <row r="25" spans="2:4" x14ac:dyDescent="0.35">
      <c r="B25" s="92" t="str">
        <f>chart_of_accounts[[#This Row],[Account name]]</f>
        <v>Advertising Expense</v>
      </c>
      <c r="C25" s="46" cm="1">
        <f t="array" ref="C25">IFERROR(
IF(
SUM(
IFERROR(_xlfn._xlws.FILTER(general_journal[Debit], general_journal[Account Name] = B25), 0), IFERROR(_xlfn._xlws.FILTER(closing_entries[Debit], closing_entries[Account Name] = B25), 0)
) &gt; SUM(
IFERROR(_xlfn._xlws.FILTER(general_journal[Credit], general_journal[Account Name] = B25), 0),  IFERROR(_xlfn._xlws.FILTER(closing_entries[Credit], closing_entries[Account Name] = B25), 0)),
SUM(
IFERROR(_xlfn._xlws.FILTER(general_journal[Debit], general_journal[Account Name] = B25), 0), IFERROR(_xlfn._xlws.FILTER(closing_entries[Debit], closing_entries[Account Name] = B25), 0)
) - SUM(
IFERROR(_xlfn._xlws.FILTER(general_journal[Credit], general_journal[Account Name] = B25), 0),  IFERROR(_xlfn._xlws.FILTER(closing_entries[Credit], closing_entries[Account Name] = B25), 0)),
0 ),
0)</f>
        <v>0</v>
      </c>
      <c r="D25" s="47" cm="1">
        <f t="array" ref="D25">IFERROR(
IF(
SUM(
IFERROR(_xlfn._xlws.FILTER(general_journal[Debit], general_journal[Account Name] = B25), 0), IFERROR(_xlfn._xlws.FILTER(closing_entries[Debit], closing_entries[Account Name] = B25), 0)
) &lt; SUM(
IFERROR(_xlfn._xlws.FILTER(general_journal[Credit], general_journal[Account Name] = B25), 0),  IFERROR(_xlfn._xlws.FILTER(closing_entries[Credit], closing_entries[Account Name] = B25), 0)
), SUM(
IFERROR(_xlfn._xlws.FILTER(general_journal[Credit], general_journal[Account Name] = B25), 0),  IFERROR(_xlfn._xlws.FILTER(closing_entries[Credit], closing_entries[Account Name] = B25), 0)
) - SUM(
IFERROR(_xlfn._xlws.FILTER(general_journal[Debit], general_journal[Account Name] = B25), 0), IFERROR(_xlfn._xlws.FILTER(closing_entries[Debit], closing_entries[Account Name] = B25), 0)
),
0 ),
0)</f>
        <v>0</v>
      </c>
    </row>
    <row r="26" spans="2:4" x14ac:dyDescent="0.35">
      <c r="B26" s="92" t="str">
        <f>chart_of_accounts[[#This Row],[Account name]]</f>
        <v>Utilities Expense</v>
      </c>
      <c r="C26" s="46" cm="1">
        <f t="array" ref="C26">IFERROR(
IF(
SUM(
IFERROR(_xlfn._xlws.FILTER(general_journal[Debit], general_journal[Account Name] = B26), 0), IFERROR(_xlfn._xlws.FILTER(closing_entries[Debit], closing_entries[Account Name] = B26), 0)
) &gt; SUM(
IFERROR(_xlfn._xlws.FILTER(general_journal[Credit], general_journal[Account Name] = B26), 0),  IFERROR(_xlfn._xlws.FILTER(closing_entries[Credit], closing_entries[Account Name] = B26), 0)),
SUM(
IFERROR(_xlfn._xlws.FILTER(general_journal[Debit], general_journal[Account Name] = B26), 0), IFERROR(_xlfn._xlws.FILTER(closing_entries[Debit], closing_entries[Account Name] = B26), 0)
) - SUM(
IFERROR(_xlfn._xlws.FILTER(general_journal[Credit], general_journal[Account Name] = B26), 0),  IFERROR(_xlfn._xlws.FILTER(closing_entries[Credit], closing_entries[Account Name] = B26), 0)),
0 ),
0)</f>
        <v>0</v>
      </c>
      <c r="D26" s="47" cm="1">
        <f t="array" ref="D26">IFERROR(
IF(
SUM(
IFERROR(_xlfn._xlws.FILTER(general_journal[Debit], general_journal[Account Name] = B26), 0), IFERROR(_xlfn._xlws.FILTER(closing_entries[Debit], closing_entries[Account Name] = B26), 0)
) &lt; SUM(
IFERROR(_xlfn._xlws.FILTER(general_journal[Credit], general_journal[Account Name] = B26), 0),  IFERROR(_xlfn._xlws.FILTER(closing_entries[Credit], closing_entries[Account Name] = B26), 0)
), SUM(
IFERROR(_xlfn._xlws.FILTER(general_journal[Credit], general_journal[Account Name] = B26), 0),  IFERROR(_xlfn._xlws.FILTER(closing_entries[Credit], closing_entries[Account Name] = B26), 0)
) - SUM(
IFERROR(_xlfn._xlws.FILTER(general_journal[Debit], general_journal[Account Name] = B26), 0), IFERROR(_xlfn._xlws.FILTER(closing_entries[Debit], closing_entries[Account Name] = B26), 0)
),
0 ),
0)</f>
        <v>0</v>
      </c>
    </row>
    <row r="27" spans="2:4" x14ac:dyDescent="0.35">
      <c r="B27" s="92" t="str">
        <f>chart_of_accounts[[#This Row],[Account name]]</f>
        <v>Stationery Expense</v>
      </c>
      <c r="C27" s="46" cm="1">
        <f t="array" ref="C27">IFERROR(
IF(
SUM(
IFERROR(_xlfn._xlws.FILTER(general_journal[Debit], general_journal[Account Name] = B27), 0), IFERROR(_xlfn._xlws.FILTER(closing_entries[Debit], closing_entries[Account Name] = B27), 0)
) &gt; SUM(
IFERROR(_xlfn._xlws.FILTER(general_journal[Credit], general_journal[Account Name] = B27), 0),  IFERROR(_xlfn._xlws.FILTER(closing_entries[Credit], closing_entries[Account Name] = B27), 0)),
SUM(
IFERROR(_xlfn._xlws.FILTER(general_journal[Debit], general_journal[Account Name] = B27), 0), IFERROR(_xlfn._xlws.FILTER(closing_entries[Debit], closing_entries[Account Name] = B27), 0)
) - SUM(
IFERROR(_xlfn._xlws.FILTER(general_journal[Credit], general_journal[Account Name] = B27), 0),  IFERROR(_xlfn._xlws.FILTER(closing_entries[Credit], closing_entries[Account Name] = B27), 0)),
0 ),
0)</f>
        <v>0</v>
      </c>
      <c r="D27" s="47" cm="1">
        <f t="array" ref="D27">IFERROR(
IF(
SUM(
IFERROR(_xlfn._xlws.FILTER(general_journal[Debit], general_journal[Account Name] = B27), 0), IFERROR(_xlfn._xlws.FILTER(closing_entries[Debit], closing_entries[Account Name] = B27), 0)
) &lt; SUM(
IFERROR(_xlfn._xlws.FILTER(general_journal[Credit], general_journal[Account Name] = B27), 0),  IFERROR(_xlfn._xlws.FILTER(closing_entries[Credit], closing_entries[Account Name] = B27), 0)
), SUM(
IFERROR(_xlfn._xlws.FILTER(general_journal[Credit], general_journal[Account Name] = B27), 0),  IFERROR(_xlfn._xlws.FILTER(closing_entries[Credit], closing_entries[Account Name] = B27), 0)
) - SUM(
IFERROR(_xlfn._xlws.FILTER(general_journal[Debit], general_journal[Account Name] = B27), 0), IFERROR(_xlfn._xlws.FILTER(closing_entries[Debit], closing_entries[Account Name] = B27), 0)
),
0 ),
0)</f>
        <v>0</v>
      </c>
    </row>
    <row r="28" spans="2:4" x14ac:dyDescent="0.35">
      <c r="B28" s="92" t="str">
        <f>chart_of_accounts[[#This Row],[Account name]]</f>
        <v>Professional Fees</v>
      </c>
      <c r="C28" s="46" cm="1">
        <f t="array" ref="C28">IFERROR(
IF(
SUM(
IFERROR(_xlfn._xlws.FILTER(general_journal[Debit], general_journal[Account Name] = B28), 0), IFERROR(_xlfn._xlws.FILTER(closing_entries[Debit], closing_entries[Account Name] = B28), 0)
) &gt; SUM(
IFERROR(_xlfn._xlws.FILTER(general_journal[Credit], general_journal[Account Name] = B28), 0),  IFERROR(_xlfn._xlws.FILTER(closing_entries[Credit], closing_entries[Account Name] = B28), 0)),
SUM(
IFERROR(_xlfn._xlws.FILTER(general_journal[Debit], general_journal[Account Name] = B28), 0), IFERROR(_xlfn._xlws.FILTER(closing_entries[Debit], closing_entries[Account Name] = B28), 0)
) - SUM(
IFERROR(_xlfn._xlws.FILTER(general_journal[Credit], general_journal[Account Name] = B28), 0),  IFERROR(_xlfn._xlws.FILTER(closing_entries[Credit], closing_entries[Account Name] = B28), 0)),
0 ),
0)</f>
        <v>0</v>
      </c>
      <c r="D28" s="47" cm="1">
        <f t="array" ref="D28">IFERROR(
IF(
SUM(
IFERROR(_xlfn._xlws.FILTER(general_journal[Debit], general_journal[Account Name] = B28), 0), IFERROR(_xlfn._xlws.FILTER(closing_entries[Debit], closing_entries[Account Name] = B28), 0)
) &lt; SUM(
IFERROR(_xlfn._xlws.FILTER(general_journal[Credit], general_journal[Account Name] = B28), 0),  IFERROR(_xlfn._xlws.FILTER(closing_entries[Credit], closing_entries[Account Name] = B28), 0)
), SUM(
IFERROR(_xlfn._xlws.FILTER(general_journal[Credit], general_journal[Account Name] = B28), 0),  IFERROR(_xlfn._xlws.FILTER(closing_entries[Credit], closing_entries[Account Name] = B28), 0)
) - SUM(
IFERROR(_xlfn._xlws.FILTER(general_journal[Debit], general_journal[Account Name] = B28), 0), IFERROR(_xlfn._xlws.FILTER(closing_entries[Debit], closing_entries[Account Name] = B28), 0)
),
0 ),
0)</f>
        <v>0</v>
      </c>
    </row>
    <row r="29" spans="2:4" x14ac:dyDescent="0.35">
      <c r="B29" s="92" t="str">
        <f>chart_of_accounts[[#This Row],[Account name]]</f>
        <v>Depreciation Expense</v>
      </c>
      <c r="C29" s="46" cm="1">
        <f t="array" ref="C29">IFERROR(
IF(
SUM(
IFERROR(_xlfn._xlws.FILTER(general_journal[Debit], general_journal[Account Name] = B29), 0), IFERROR(_xlfn._xlws.FILTER(closing_entries[Debit], closing_entries[Account Name] = B29), 0)
) &gt; SUM(
IFERROR(_xlfn._xlws.FILTER(general_journal[Credit], general_journal[Account Name] = B29), 0),  IFERROR(_xlfn._xlws.FILTER(closing_entries[Credit], closing_entries[Account Name] = B29), 0)),
SUM(
IFERROR(_xlfn._xlws.FILTER(general_journal[Debit], general_journal[Account Name] = B29), 0), IFERROR(_xlfn._xlws.FILTER(closing_entries[Debit], closing_entries[Account Name] = B29), 0)
) - SUM(
IFERROR(_xlfn._xlws.FILTER(general_journal[Credit], general_journal[Account Name] = B29), 0),  IFERROR(_xlfn._xlws.FILTER(closing_entries[Credit], closing_entries[Account Name] = B29), 0)),
0 ),
0)</f>
        <v>0</v>
      </c>
      <c r="D29" s="47" cm="1">
        <f t="array" ref="D29">IFERROR(
IF(
SUM(
IFERROR(_xlfn._xlws.FILTER(general_journal[Debit], general_journal[Account Name] = B29), 0), IFERROR(_xlfn._xlws.FILTER(closing_entries[Debit], closing_entries[Account Name] = B29), 0)
) &lt; SUM(
IFERROR(_xlfn._xlws.FILTER(general_journal[Credit], general_journal[Account Name] = B29), 0),  IFERROR(_xlfn._xlws.FILTER(closing_entries[Credit], closing_entries[Account Name] = B29), 0)
), SUM(
IFERROR(_xlfn._xlws.FILTER(general_journal[Credit], general_journal[Account Name] = B29), 0),  IFERROR(_xlfn._xlws.FILTER(closing_entries[Credit], closing_entries[Account Name] = B29), 0)
) - SUM(
IFERROR(_xlfn._xlws.FILTER(general_journal[Debit], general_journal[Account Name] = B29), 0), IFERROR(_xlfn._xlws.FILTER(closing_entries[Debit], closing_entries[Account Name] = B29), 0)
),
0 ),
0)</f>
        <v>0</v>
      </c>
    </row>
    <row r="30" spans="2:4" x14ac:dyDescent="0.35">
      <c r="B30" s="92" t="str">
        <f>chart_of_accounts[[#This Row],[Account name]]</f>
        <v>Bank Charges</v>
      </c>
      <c r="C30" s="46" cm="1">
        <f t="array" ref="C30">IFERROR(
IF(
SUM(
IFERROR(_xlfn._xlws.FILTER(general_journal[Debit], general_journal[Account Name] = B30), 0), IFERROR(_xlfn._xlws.FILTER(closing_entries[Debit], closing_entries[Account Name] = B30), 0)
) &gt; SUM(
IFERROR(_xlfn._xlws.FILTER(general_journal[Credit], general_journal[Account Name] = B30), 0),  IFERROR(_xlfn._xlws.FILTER(closing_entries[Credit], closing_entries[Account Name] = B30), 0)),
SUM(
IFERROR(_xlfn._xlws.FILTER(general_journal[Debit], general_journal[Account Name] = B30), 0), IFERROR(_xlfn._xlws.FILTER(closing_entries[Debit], closing_entries[Account Name] = B30), 0)
) - SUM(
IFERROR(_xlfn._xlws.FILTER(general_journal[Credit], general_journal[Account Name] = B30), 0),  IFERROR(_xlfn._xlws.FILTER(closing_entries[Credit], closing_entries[Account Name] = B30), 0)),
0 ),
0)</f>
        <v>0</v>
      </c>
      <c r="D30" s="47" cm="1">
        <f t="array" ref="D30">IFERROR(
IF(
SUM(
IFERROR(_xlfn._xlws.FILTER(general_journal[Debit], general_journal[Account Name] = B30), 0), IFERROR(_xlfn._xlws.FILTER(closing_entries[Debit], closing_entries[Account Name] = B30), 0)
) &lt; SUM(
IFERROR(_xlfn._xlws.FILTER(general_journal[Credit], general_journal[Account Name] = B30), 0),  IFERROR(_xlfn._xlws.FILTER(closing_entries[Credit], closing_entries[Account Name] = B30), 0)
), SUM(
IFERROR(_xlfn._xlws.FILTER(general_journal[Credit], general_journal[Account Name] = B30), 0),  IFERROR(_xlfn._xlws.FILTER(closing_entries[Credit], closing_entries[Account Name] = B30), 0)
) - SUM(
IFERROR(_xlfn._xlws.FILTER(general_journal[Debit], general_journal[Account Name] = B30), 0), IFERROR(_xlfn._xlws.FILTER(closing_entries[Debit], closing_entries[Account Name] = B30), 0)
),
0 ),
0)</f>
        <v>0</v>
      </c>
    </row>
    <row r="31" spans="2:4" ht="15" thickBot="1" x14ac:dyDescent="0.4">
      <c r="B31" s="96" t="str">
        <f>chart_of_accounts[[#This Row],[Account name]]</f>
        <v>Loan Interest Expense</v>
      </c>
      <c r="C31" s="97" cm="1">
        <f t="array" ref="C31">IFERROR(
IF(
SUM(
IFERROR(_xlfn._xlws.FILTER(general_journal[Debit], general_journal[Account Name] = B31), 0), IFERROR(_xlfn._xlws.FILTER(closing_entries[Debit], closing_entries[Account Name] = B31), 0)
) &gt; SUM(
IFERROR(_xlfn._xlws.FILTER(general_journal[Credit], general_journal[Account Name] = B31), 0),  IFERROR(_xlfn._xlws.FILTER(closing_entries[Credit], closing_entries[Account Name] = B31), 0)),
SUM(
IFERROR(_xlfn._xlws.FILTER(general_journal[Debit], general_journal[Account Name] = B31), 0), IFERROR(_xlfn._xlws.FILTER(closing_entries[Debit], closing_entries[Account Name] = B31), 0)
) - SUM(
IFERROR(_xlfn._xlws.FILTER(general_journal[Credit], general_journal[Account Name] = B31), 0),  IFERROR(_xlfn._xlws.FILTER(closing_entries[Credit], closing_entries[Account Name] = B31), 0)),
0 ),
0)</f>
        <v>0</v>
      </c>
      <c r="D31" s="98" cm="1">
        <f t="array" ref="D31">IFERROR(
IF(
SUM(
IFERROR(_xlfn._xlws.FILTER(general_journal[Debit], general_journal[Account Name] = B31), 0), IFERROR(_xlfn._xlws.FILTER(closing_entries[Debit], closing_entries[Account Name] = B31), 0)
) &lt; SUM(
IFERROR(_xlfn._xlws.FILTER(general_journal[Credit], general_journal[Account Name] = B31), 0),  IFERROR(_xlfn._xlws.FILTER(closing_entries[Credit], closing_entries[Account Name] = B31), 0)
), SUM(
IFERROR(_xlfn._xlws.FILTER(general_journal[Credit], general_journal[Account Name] = B31), 0),  IFERROR(_xlfn._xlws.FILTER(closing_entries[Credit], closing_entries[Account Name] = B31), 0)
) - SUM(
IFERROR(_xlfn._xlws.FILTER(general_journal[Debit], general_journal[Account Name] = B31), 0), IFERROR(_xlfn._xlws.FILTER(closing_entries[Debit], closing_entries[Account Name] = B31), 0)
),
0 ),
0)</f>
        <v>0</v>
      </c>
    </row>
    <row r="32" spans="2:4" ht="15.5" thickTop="1" thickBot="1" x14ac:dyDescent="0.4">
      <c r="B32" s="96" t="str">
        <f>chart_of_accounts[[#This Row],[Account name]]</f>
        <v>Income Tax Expense</v>
      </c>
      <c r="C32" s="97" cm="1">
        <f t="array" ref="C32">IFERROR(
IF(
SUM(
IFERROR(_xlfn._xlws.FILTER(general_journal[Debit], general_journal[Account Name] = B32), 0), IFERROR(_xlfn._xlws.FILTER(closing_entries[Debit], closing_entries[Account Name] = B32), 0)
) &gt; SUM(
IFERROR(_xlfn._xlws.FILTER(general_journal[Credit], general_journal[Account Name] = B32), 0),  IFERROR(_xlfn._xlws.FILTER(closing_entries[Credit], closing_entries[Account Name] = B32), 0)),
SUM(
IFERROR(_xlfn._xlws.FILTER(general_journal[Debit], general_journal[Account Name] = B32), 0), IFERROR(_xlfn._xlws.FILTER(closing_entries[Debit], closing_entries[Account Name] = B32), 0)
) - SUM(
IFERROR(_xlfn._xlws.FILTER(general_journal[Credit], general_journal[Account Name] = B32), 0),  IFERROR(_xlfn._xlws.FILTER(closing_entries[Credit], closing_entries[Account Name] = B32), 0)),
0 ),
0)</f>
        <v>0</v>
      </c>
      <c r="D32" s="98" cm="1">
        <f t="array" ref="D32">IFERROR(
IF(
SUM(
IFERROR(_xlfn._xlws.FILTER(general_journal[Debit], general_journal[Account Name] = B32), 0), IFERROR(_xlfn._xlws.FILTER(closing_entries[Debit], closing_entries[Account Name] = B32), 0)
) &lt; SUM(
IFERROR(_xlfn._xlws.FILTER(general_journal[Credit], general_journal[Account Name] = B32), 0),  IFERROR(_xlfn._xlws.FILTER(closing_entries[Credit], closing_entries[Account Name] = B32), 0)
), SUM(
IFERROR(_xlfn._xlws.FILTER(general_journal[Credit], general_journal[Account Name] = B32), 0),  IFERROR(_xlfn._xlws.FILTER(closing_entries[Credit], closing_entries[Account Name] = B32), 0)
) - SUM(
IFERROR(_xlfn._xlws.FILTER(general_journal[Debit], general_journal[Account Name] = B32), 0), IFERROR(_xlfn._xlws.FILTER(closing_entries[Debit], closing_entries[Account Name] = B32), 0)
),
0 ),
0)</f>
        <v>0</v>
      </c>
    </row>
    <row r="33" spans="2:4" ht="15" thickTop="1" x14ac:dyDescent="0.35">
      <c r="B33" s="93" t="s">
        <v>153</v>
      </c>
      <c r="C33" s="94">
        <f>SUBTOTAL(109,post_closing_trial_balance[Debit])</f>
        <v>1109200</v>
      </c>
      <c r="D33" s="95">
        <f>SUBTOTAL(109,post_closing_trial_balance[Credit])</f>
        <v>1109200</v>
      </c>
    </row>
    <row r="34" spans="2:4" x14ac:dyDescent="0.35"/>
    <row r="35" spans="2:4" x14ac:dyDescent="0.35"/>
  </sheetData>
  <sheetProtection algorithmName="SHA-512" hashValue="+KySr3pVOZFlsAfmISeBvKsVSTRLmHaBHnzURN53jmYvh1wM96zaCFyPmNr+DSHymfOiz09JyKOdEOwRgxHjfg==" saltValue="J6Ei7AVABj+L3ptBYhgHiA==" spinCount="100000" sheet="1" objects="1" scenarios="1"/>
  <mergeCells count="1">
    <mergeCell ref="B2:D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B7677FC4-A9B9-4A3C-9E32-23B3A642B553}">
  <ds:schemaRefs/>
</ds:datastoreItem>
</file>

<file path=customXml/itemProps2.xml><?xml version="1.0" encoding="utf-8"?>
<ds:datastoreItem xmlns:ds="http://schemas.openxmlformats.org/officeDocument/2006/customXml" ds:itemID="{47A91EDE-3934-43C4-B3D3-B4366F68FB25}">
  <ds:schemaRefs/>
</ds:datastoreItem>
</file>

<file path=customXml/itemProps3.xml><?xml version="1.0" encoding="utf-8"?>
<ds:datastoreItem xmlns:ds="http://schemas.openxmlformats.org/officeDocument/2006/customXml" ds:itemID="{63B0F6D6-01D3-4D4C-90C4-EE6B15C829BD}">
  <ds:schemaRefs/>
</ds:datastoreItem>
</file>

<file path=customXml/itemProps4.xml><?xml version="1.0" encoding="utf-8"?>
<ds:datastoreItem xmlns:ds="http://schemas.openxmlformats.org/officeDocument/2006/customXml" ds:itemID="{62E9FEBF-EE63-4320-A151-23943FE0A609}">
  <ds:schemaRefs/>
</ds:datastoreItem>
</file>

<file path=customXml/itemProps5.xml><?xml version="1.0" encoding="utf-8"?>
<ds:datastoreItem xmlns:ds="http://schemas.openxmlformats.org/officeDocument/2006/customXml" ds:itemID="{E08919FC-79EF-4EB7-B759-132BD048085C}">
  <ds:schemaRefs/>
</ds:datastoreItem>
</file>

<file path=customXml/itemProps6.xml><?xml version="1.0" encoding="utf-8"?>
<ds:datastoreItem xmlns:ds="http://schemas.openxmlformats.org/officeDocument/2006/customXml" ds:itemID="{9EE97E11-0E79-4DFC-B15A-619381EB6CEF}">
  <ds:schemaRefs/>
</ds:datastoreItem>
</file>

<file path=customXml/itemProps7.xml><?xml version="1.0" encoding="utf-8"?>
<ds:datastoreItem xmlns:ds="http://schemas.openxmlformats.org/officeDocument/2006/customXml" ds:itemID="{8357B4CD-7ACC-46C9-A088-3358ECAFF00B}">
  <ds:schemaRefs/>
</ds:datastoreItem>
</file>

<file path=customXml/itemProps8.xml><?xml version="1.0" encoding="utf-8"?>
<ds:datastoreItem xmlns:ds="http://schemas.openxmlformats.org/officeDocument/2006/customXml" ds:itemID="{B75BB095-E5C2-4B9B-88DC-45A9EE05CD05}">
  <ds:schemaRefs/>
</ds:datastoreItem>
</file>

<file path=customXml/itemProps9.xml><?xml version="1.0" encoding="utf-8"?>
<ds:datastoreItem xmlns:ds="http://schemas.openxmlformats.org/officeDocument/2006/customXml" ds:itemID="{28C2B70A-FA13-4F60-AB2F-D94BD1B281F8}">
  <ds:schemaRefs/>
</ds:datastoreItem>
</file>

<file path=customXml/itemProps10.xml><?xml version="1.0" encoding="utf-8"?>
<ds:datastoreItem xmlns:ds="http://schemas.openxmlformats.org/officeDocument/2006/customXml" ds:itemID="{E4F0ADD4-370F-4E81-8FF4-8138D5FB14A4}">
  <ds:schemaRefs/>
</ds:datastoreItem>
</file>

<file path=customXml/itemProps11.xml><?xml version="1.0" encoding="utf-8"?>
<ds:datastoreItem xmlns:ds="http://schemas.openxmlformats.org/officeDocument/2006/customXml" ds:itemID="{F484C797-DA28-4F78-BAF9-2B9BF8EFDBE4}">
  <ds:schemaRefs/>
</ds:datastoreItem>
</file>

<file path=customXml/itemProps12.xml><?xml version="1.0" encoding="utf-8"?>
<ds:datastoreItem xmlns:ds="http://schemas.openxmlformats.org/officeDocument/2006/customXml" ds:itemID="{4EDC52C7-20AD-4FC4-B3D0-1B492EC00A50}">
  <ds:schemaRefs/>
</ds:datastoreItem>
</file>

<file path=customXml/itemProps13.xml><?xml version="1.0" encoding="utf-8"?>
<ds:datastoreItem xmlns:ds="http://schemas.openxmlformats.org/officeDocument/2006/customXml" ds:itemID="{768C3925-213F-4D25-BE1F-D9766690F145}">
  <ds:schemaRefs/>
</ds:datastoreItem>
</file>

<file path=customXml/itemProps14.xml><?xml version="1.0" encoding="utf-8"?>
<ds:datastoreItem xmlns:ds="http://schemas.openxmlformats.org/officeDocument/2006/customXml" ds:itemID="{411A7854-D76A-4681-BA56-6C030EEF02AC}">
  <ds:schemaRefs/>
</ds:datastoreItem>
</file>

<file path=customXml/itemProps15.xml><?xml version="1.0" encoding="utf-8"?>
<ds:datastoreItem xmlns:ds="http://schemas.openxmlformats.org/officeDocument/2006/customXml" ds:itemID="{18145B58-374A-458F-BC6D-29CCD396D560}">
  <ds:schemaRefs/>
</ds:datastoreItem>
</file>

<file path=customXml/itemProps16.xml><?xml version="1.0" encoding="utf-8"?>
<ds:datastoreItem xmlns:ds="http://schemas.openxmlformats.org/officeDocument/2006/customXml" ds:itemID="{2A6471E2-CBFF-4F6F-BE66-B3AF3173A0BE}">
  <ds:schemaRefs/>
</ds:datastoreItem>
</file>

<file path=customXml/itemProps17.xml><?xml version="1.0" encoding="utf-8"?>
<ds:datastoreItem xmlns:ds="http://schemas.openxmlformats.org/officeDocument/2006/customXml" ds:itemID="{8AA9E095-D22A-48E7-AACF-26D37C34D669}">
  <ds:schemaRefs/>
</ds:datastoreItem>
</file>

<file path=customXml/itemProps18.xml><?xml version="1.0" encoding="utf-8"?>
<ds:datastoreItem xmlns:ds="http://schemas.openxmlformats.org/officeDocument/2006/customXml" ds:itemID="{B77885CD-AD49-4124-BA7E-D02A4F017D1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Ratios</vt:lpstr>
      <vt:lpstr>SOPL</vt:lpstr>
      <vt:lpstr>SOFP</vt:lpstr>
      <vt:lpstr>SOCF</vt:lpstr>
      <vt:lpstr>chart_of_accounts</vt:lpstr>
      <vt:lpstr>general_journal</vt:lpstr>
      <vt:lpstr>general_ledger</vt:lpstr>
      <vt:lpstr>adjusted_trial balance</vt:lpstr>
      <vt:lpstr>closing_entries</vt:lpstr>
      <vt:lpstr>post_closing_trial_balance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SAMI</dc:creator>
  <cp:lastModifiedBy>MUHAMMAD SAMI</cp:lastModifiedBy>
  <cp:lastPrinted>2026-10-05T16:09:36Z</cp:lastPrinted>
  <dcterms:created xsi:type="dcterms:W3CDTF">2026-10-04T15:40:18Z</dcterms:created>
  <dcterms:modified xsi:type="dcterms:W3CDTF">2026-10-05T16:31:41Z</dcterms:modified>
</cp:coreProperties>
</file>